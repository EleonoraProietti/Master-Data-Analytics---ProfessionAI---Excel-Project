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Master Data Analyst - ProfessionAI\3. Inferenza Statistica con Excel\"/>
    </mc:Choice>
  </mc:AlternateContent>
  <xr:revisionPtr revIDLastSave="0" documentId="13_ncr:1_{C7801150-A671-46B7-9C8C-76B2683C093B}" xr6:coauthVersionLast="47" xr6:coauthVersionMax="47" xr10:uidLastSave="{00000000-0000-0000-0000-000000000000}"/>
  <bookViews>
    <workbookView xWindow="-120" yWindow="-120" windowWidth="20730" windowHeight="11160" firstSheet="1" activeTab="3" xr2:uid="{A4D0B45D-9A57-4C6E-8994-8BF6DAD15285}"/>
  </bookViews>
  <sheets>
    <sheet name="Parameters" sheetId="1" r:id="rId1"/>
    <sheet name="Data" sheetId="2" r:id="rId2"/>
    <sheet name="Sample" sheetId="3" r:id="rId3"/>
    <sheet name="Statistical Insight" sheetId="4" r:id="rId4"/>
    <sheet name="(Un)correlated Variables" sheetId="5" r:id="rId5"/>
    <sheet name="Linear regression" sheetId="7" r:id="rId6"/>
  </sheets>
  <definedNames>
    <definedName name="_xlnm._FilterDatabase" localSheetId="2" hidden="1">Sample!$A$1:$D$251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7" i="4"/>
  <c r="B6" i="4"/>
  <c r="B2" i="4"/>
  <c r="C6" i="4"/>
  <c r="A251" i="7" l="1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F24" i="5"/>
  <c r="F23" i="5"/>
  <c r="F22" i="5"/>
  <c r="F4" i="5"/>
  <c r="F3" i="5"/>
  <c r="F2" i="5"/>
  <c r="B11" i="4"/>
  <c r="E2" i="7" l="1"/>
  <c r="B2" i="3"/>
  <c r="C2" i="3" s="1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" i="3"/>
  <c r="A3" i="3"/>
  <c r="B8" i="4" l="1"/>
  <c r="C212" i="3"/>
  <c r="C241" i="3"/>
  <c r="C225" i="3"/>
  <c r="C213" i="3"/>
  <c r="C205" i="3"/>
  <c r="C201" i="3"/>
  <c r="C197" i="3"/>
  <c r="C193" i="3"/>
  <c r="C189" i="3"/>
  <c r="C177" i="3"/>
  <c r="C169" i="3"/>
  <c r="C153" i="3"/>
  <c r="C141" i="3"/>
  <c r="C125" i="3"/>
  <c r="C117" i="3"/>
  <c r="C113" i="3"/>
  <c r="C105" i="3"/>
  <c r="C101" i="3"/>
  <c r="C85" i="3"/>
  <c r="C69" i="3"/>
  <c r="C140" i="3"/>
  <c r="C192" i="3"/>
  <c r="B5" i="4"/>
  <c r="C36" i="3"/>
  <c r="C52" i="3"/>
  <c r="C104" i="3"/>
  <c r="C72" i="3"/>
  <c r="C237" i="3"/>
  <c r="C209" i="3"/>
  <c r="C161" i="3"/>
  <c r="C81" i="3"/>
  <c r="C168" i="3"/>
  <c r="C232" i="3"/>
  <c r="C228" i="3"/>
  <c r="C184" i="3"/>
  <c r="C245" i="3"/>
  <c r="C233" i="3"/>
  <c r="C229" i="3"/>
  <c r="C221" i="3"/>
  <c r="C185" i="3"/>
  <c r="C173" i="3"/>
  <c r="C165" i="3"/>
  <c r="C157" i="3"/>
  <c r="C149" i="3"/>
  <c r="C129" i="3"/>
  <c r="C109" i="3"/>
  <c r="C93" i="3"/>
  <c r="C61" i="3"/>
  <c r="C57" i="3"/>
  <c r="C53" i="3"/>
  <c r="C49" i="3"/>
  <c r="C45" i="3"/>
  <c r="C41" i="3"/>
  <c r="C33" i="3"/>
  <c r="C224" i="3"/>
  <c r="C176" i="3"/>
  <c r="C132" i="3"/>
  <c r="C108" i="3"/>
  <c r="C12" i="3"/>
  <c r="C29" i="3"/>
  <c r="C13" i="3"/>
  <c r="C248" i="3"/>
  <c r="C156" i="3"/>
  <c r="C92" i="3"/>
  <c r="C20" i="3"/>
  <c r="C5" i="3"/>
  <c r="C196" i="3"/>
  <c r="C136" i="3"/>
  <c r="C96" i="3"/>
  <c r="C88" i="3"/>
  <c r="C4" i="3"/>
  <c r="C249" i="3"/>
  <c r="C217" i="3"/>
  <c r="C181" i="3"/>
  <c r="C145" i="3"/>
  <c r="C137" i="3"/>
  <c r="C133" i="3"/>
  <c r="C121" i="3"/>
  <c r="C97" i="3"/>
  <c r="C89" i="3"/>
  <c r="C77" i="3"/>
  <c r="C73" i="3"/>
  <c r="C65" i="3"/>
  <c r="C37" i="3"/>
  <c r="C25" i="3"/>
  <c r="C21" i="3"/>
  <c r="C240" i="3"/>
  <c r="C236" i="3"/>
  <c r="C220" i="3"/>
  <c r="C208" i="3"/>
  <c r="C188" i="3"/>
  <c r="C180" i="3"/>
  <c r="C76" i="3"/>
  <c r="C56" i="3"/>
  <c r="C17" i="3"/>
  <c r="C9" i="3"/>
  <c r="C244" i="3"/>
  <c r="C216" i="3"/>
  <c r="C204" i="3"/>
  <c r="C172" i="3"/>
  <c r="C148" i="3"/>
  <c r="C128" i="3"/>
  <c r="C116" i="3"/>
  <c r="C112" i="3"/>
  <c r="C100" i="3"/>
  <c r="C64" i="3"/>
  <c r="C48" i="3"/>
  <c r="C40" i="3"/>
  <c r="C28" i="3"/>
  <c r="C250" i="3"/>
  <c r="C246" i="3"/>
  <c r="C242" i="3"/>
  <c r="C238" i="3"/>
  <c r="C234" i="3"/>
  <c r="C230" i="3"/>
  <c r="C226" i="3"/>
  <c r="C222" i="3"/>
  <c r="C218" i="3"/>
  <c r="C214" i="3"/>
  <c r="C210" i="3"/>
  <c r="C206" i="3"/>
  <c r="C202" i="3"/>
  <c r="C198" i="3"/>
  <c r="C194" i="3"/>
  <c r="C190" i="3"/>
  <c r="C186" i="3"/>
  <c r="C182" i="3"/>
  <c r="C178" i="3"/>
  <c r="C174" i="3"/>
  <c r="C170" i="3"/>
  <c r="C166" i="3"/>
  <c r="C162" i="3"/>
  <c r="C158" i="3"/>
  <c r="C154" i="3"/>
  <c r="C150" i="3"/>
  <c r="C146" i="3"/>
  <c r="C142" i="3"/>
  <c r="C138" i="3"/>
  <c r="C134" i="3"/>
  <c r="C130" i="3"/>
  <c r="C126" i="3"/>
  <c r="C122" i="3"/>
  <c r="C118" i="3"/>
  <c r="C114" i="3"/>
  <c r="C110" i="3"/>
  <c r="C106" i="3"/>
  <c r="C102" i="3"/>
  <c r="C98" i="3"/>
  <c r="C94" i="3"/>
  <c r="C90" i="3"/>
  <c r="C86" i="3"/>
  <c r="C82" i="3"/>
  <c r="C78" i="3"/>
  <c r="C74" i="3"/>
  <c r="C70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32" i="3"/>
  <c r="C200" i="3"/>
  <c r="C164" i="3"/>
  <c r="C160" i="3"/>
  <c r="C152" i="3"/>
  <c r="C144" i="3"/>
  <c r="C124" i="3"/>
  <c r="C120" i="3"/>
  <c r="C84" i="3"/>
  <c r="C80" i="3"/>
  <c r="C68" i="3"/>
  <c r="C60" i="3"/>
  <c r="C44" i="3"/>
  <c r="C24" i="3"/>
  <c r="C8" i="3"/>
  <c r="C16" i="3"/>
  <c r="C251" i="3"/>
  <c r="C247" i="3"/>
  <c r="C243" i="3"/>
  <c r="C239" i="3"/>
  <c r="C235" i="3"/>
  <c r="C231" i="3"/>
  <c r="C227" i="3"/>
  <c r="C223" i="3"/>
  <c r="C219" i="3"/>
  <c r="C215" i="3"/>
  <c r="C211" i="3"/>
  <c r="C207" i="3"/>
  <c r="C203" i="3"/>
  <c r="C199" i="3"/>
  <c r="C195" i="3"/>
  <c r="C191" i="3"/>
  <c r="C187" i="3"/>
  <c r="C183" i="3"/>
  <c r="C179" i="3"/>
  <c r="C175" i="3"/>
  <c r="C171" i="3"/>
  <c r="C167" i="3"/>
  <c r="C163" i="3"/>
  <c r="C159" i="3"/>
  <c r="C155" i="3"/>
  <c r="C151" i="3"/>
  <c r="C147" i="3"/>
  <c r="C143" i="3"/>
  <c r="C139" i="3"/>
  <c r="C135" i="3"/>
  <c r="C131" i="3"/>
  <c r="C127" i="3"/>
  <c r="C123" i="3"/>
  <c r="C119" i="3"/>
  <c r="C115" i="3"/>
  <c r="C111" i="3"/>
  <c r="C107" i="3"/>
  <c r="C103" i="3"/>
  <c r="C99" i="3"/>
  <c r="C95" i="3"/>
  <c r="C91" i="3"/>
  <c r="C87" i="3"/>
  <c r="C83" i="3"/>
  <c r="C79" i="3"/>
  <c r="C75" i="3"/>
  <c r="C71" i="3"/>
  <c r="C67" i="3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C3" i="3"/>
  <c r="B4" i="4" l="1"/>
  <c r="B3" i="4"/>
  <c r="B13" i="4" l="1"/>
  <c r="B1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</author>
  </authors>
  <commentList>
    <comment ref="D2" authorId="0" shapeId="0" xr:uid="{A6A83B95-5C8E-4843-8D96-0D9360C4E6A9}">
      <text>
        <r>
          <rPr>
            <sz val="9"/>
            <color indexed="81"/>
            <rFont val="Tahoma"/>
            <family val="2"/>
          </rPr>
          <t xml:space="preserve">Scegliere un numero compreso tra 1 e 4. 
</t>
        </r>
      </text>
    </comment>
  </commentList>
</comments>
</file>

<file path=xl/sharedStrings.xml><?xml version="1.0" encoding="utf-8"?>
<sst xmlns="http://schemas.openxmlformats.org/spreadsheetml/2006/main" count="51" uniqueCount="48">
  <si>
    <t>Parameters</t>
  </si>
  <si>
    <t>Probabilità</t>
  </si>
  <si>
    <t>Media</t>
  </si>
  <si>
    <t>Deviazione Standard</t>
  </si>
  <si>
    <t>-</t>
  </si>
  <si>
    <t>Età</t>
  </si>
  <si>
    <t>Gruppo</t>
  </si>
  <si>
    <t>La probabilità è stata generata con la formula =CASUALE() direttamente all'interno della formula =INV.NORM.N</t>
  </si>
  <si>
    <t>Sotto campione</t>
  </si>
  <si>
    <t>Gruppo appartenenza</t>
  </si>
  <si>
    <t>COUNT</t>
  </si>
  <si>
    <t>Valori</t>
  </si>
  <si>
    <t>Varianza Nota</t>
  </si>
  <si>
    <t>Standard error</t>
  </si>
  <si>
    <t>Alfa</t>
  </si>
  <si>
    <t>Z</t>
  </si>
  <si>
    <t>Limite inferiore</t>
  </si>
  <si>
    <t>Limite superiore</t>
  </si>
  <si>
    <t>Confidenza</t>
  </si>
  <si>
    <t>In base al calcolo appena effettuato possiamo affermare con una confidenza del 95% che l'età della popolazione varia da un valore minimo di 43,09 a una massimo di 45,14. Il campione preso in considerazione di 54 valori.</t>
  </si>
  <si>
    <r>
      <rPr>
        <b/>
        <sz val="11"/>
        <color theme="1"/>
        <rFont val="Aptos Narrow"/>
        <family val="2"/>
        <scheme val="minor"/>
      </rPr>
      <t>Standard error</t>
    </r>
    <r>
      <rPr>
        <sz val="11"/>
        <color theme="1"/>
        <rFont val="Aptos Narrow"/>
        <family val="2"/>
        <scheme val="minor"/>
      </rPr>
      <t>: variabilità della stima del campione, 0,52</t>
    </r>
  </si>
  <si>
    <t>Sample data</t>
  </si>
  <si>
    <t>Number of cats</t>
  </si>
  <si>
    <t>Age of partner</t>
  </si>
  <si>
    <t>Covarianza Gatto</t>
  </si>
  <si>
    <t>T test</t>
  </si>
  <si>
    <t>Correlazione Età - Partner età</t>
  </si>
  <si>
    <t>Covarianza età partner</t>
  </si>
  <si>
    <t>Correlazione Età - Gatto</t>
  </si>
  <si>
    <t xml:space="preserve">Anche in questo caso abbiamo utilizzare la formula '=CASUALE.TRA(0;4) per calcolare quanti gatti possiede una persona e la formula'=INV.NORM.N(CASUALE();Parameters!$B$3;Parameters!$B$4) per calcolare l'età dei partner. Entrambi sono stati copiati e incollati i soli valori per non essere continuamente modificati. </t>
  </si>
  <si>
    <t>Age (Y)</t>
  </si>
  <si>
    <t>Rank(X)</t>
  </si>
  <si>
    <t>Previsione lineare</t>
  </si>
  <si>
    <r>
      <t>L'</t>
    </r>
    <r>
      <rPr>
        <b/>
        <sz val="11"/>
        <color theme="1"/>
        <rFont val="Aptos Narrow"/>
        <family val="2"/>
        <scheme val="minor"/>
      </rPr>
      <t>età</t>
    </r>
    <r>
      <rPr>
        <sz val="11"/>
        <color theme="1"/>
        <rFont val="Aptos Narrow"/>
        <family val="2"/>
        <scheme val="minor"/>
      </rPr>
      <t xml:space="preserve"> del DataSet è stata creata casualmente utilizzando la seguente formula: '=INV.NORM.N(CASUALE();Parameters!$B$3;Parameters!$B$4). L'età della popolazione poi è stata copiata e incollata per evitare che i valori cambiassero continuamente. Il </t>
    </r>
    <r>
      <rPr>
        <b/>
        <sz val="11"/>
        <color theme="1"/>
        <rFont val="Aptos Narrow"/>
        <family val="2"/>
        <scheme val="minor"/>
      </rPr>
      <t>gruppo</t>
    </r>
    <r>
      <rPr>
        <sz val="11"/>
        <color theme="1"/>
        <rFont val="Aptos Narrow"/>
        <family val="2"/>
        <scheme val="minor"/>
      </rPr>
      <t xml:space="preserve"> compreso tra 1 e 4 è stato calcolato, anche questo casualmente, con la funzione '=CASUALE.TRA(1;4) e come prima è stato copiato e incollato per evitare la modifica costante del valore del gruppo.</t>
    </r>
  </si>
  <si>
    <t>Varianza Popolazione</t>
  </si>
  <si>
    <r>
      <rPr>
        <b/>
        <sz val="11"/>
        <color theme="1"/>
        <rFont val="Aptos Narrow"/>
        <family val="2"/>
        <scheme val="minor"/>
      </rPr>
      <t>Varianza Popolazione</t>
    </r>
    <r>
      <rPr>
        <sz val="11"/>
        <color theme="1"/>
        <rFont val="Aptos Narrow"/>
        <family val="2"/>
        <scheme val="minor"/>
      </rPr>
      <t>: è la varianza della Popolazione, ha una dispersione intorno la media di 14,68</t>
    </r>
  </si>
  <si>
    <t>Media popolazione</t>
  </si>
  <si>
    <t>Expected Value (S)</t>
  </si>
  <si>
    <t>Estimation of P Parameter</t>
  </si>
  <si>
    <t>STDDEV Campione</t>
  </si>
  <si>
    <t>STDDEV Popolazione</t>
  </si>
  <si>
    <r>
      <rPr>
        <b/>
        <sz val="11"/>
        <color theme="1"/>
        <rFont val="Aptos Narrow"/>
        <family val="2"/>
        <scheme val="minor"/>
      </rPr>
      <t>COUNT</t>
    </r>
    <r>
      <rPr>
        <sz val="11"/>
        <color theme="1"/>
        <rFont val="Aptos Narrow"/>
        <family val="2"/>
        <scheme val="minor"/>
      </rPr>
      <t>: è la numerosità campionaria del sotto campione scelto del tab Sample. La quantità di 54 ci permette di utilizzare i dati ai fini dell'inferenza statistica.</t>
    </r>
  </si>
  <si>
    <r>
      <rPr>
        <b/>
        <sz val="11"/>
        <color theme="1"/>
        <rFont val="Aptos Narrow"/>
        <family val="2"/>
        <scheme val="minor"/>
      </rPr>
      <t>Expected Value</t>
    </r>
    <r>
      <rPr>
        <sz val="11"/>
        <color theme="1"/>
        <rFont val="Aptos Narrow"/>
        <family val="2"/>
        <scheme val="minor"/>
      </rPr>
      <t xml:space="preserve"> (S) età media del campione, che è vicino all'età media della popolazione.</t>
    </r>
  </si>
  <si>
    <r>
      <rPr>
        <b/>
        <sz val="11"/>
        <color theme="1"/>
        <rFont val="Aptos Narrow"/>
        <family val="2"/>
        <scheme val="minor"/>
      </rPr>
      <t>STDDEV</t>
    </r>
    <r>
      <rPr>
        <sz val="11"/>
        <color theme="1"/>
        <rFont val="Aptos Narrow"/>
        <family val="2"/>
        <scheme val="minor"/>
      </rPr>
      <t>: è la deviazione standard della popolazione, stima leggermente più bassa rispetto dalla STDDEV Campionaria</t>
    </r>
  </si>
  <si>
    <r>
      <rPr>
        <b/>
        <sz val="11"/>
        <color theme="1"/>
        <rFont val="Aptos Narrow"/>
        <family val="2"/>
        <scheme val="minor"/>
      </rPr>
      <t>STDDEV</t>
    </r>
    <r>
      <rPr>
        <sz val="11"/>
        <color theme="1"/>
        <rFont val="Aptos Narrow"/>
        <family val="2"/>
        <scheme val="minor"/>
      </rPr>
      <t>: è la deviazione standard del campione, stima della variabilità del campione di 4,06</t>
    </r>
  </si>
  <si>
    <t>La correlazione tra Età della persona e gatti posseduto è 0,15, molto vicino allo zero. Questo ci indica una correlazione debole tra età e gatti posseduti. Non c'è una relazione lineare significativa.</t>
  </si>
  <si>
    <t>La correlazione tra l'età dei partner è tendende allo zero, 0,23. Questo suggerisce una correlazione debole. La relazione lineare non è significativa.</t>
  </si>
  <si>
    <r>
      <rPr>
        <b/>
        <sz val="11"/>
        <color theme="1"/>
        <rFont val="Aptos Narrow"/>
        <family val="2"/>
        <scheme val="minor"/>
      </rPr>
      <t>Estimation of P Parameter</t>
    </r>
    <r>
      <rPr>
        <sz val="11"/>
        <color theme="1"/>
        <rFont val="Aptos Narrow"/>
        <family val="2"/>
        <scheme val="minor"/>
      </rPr>
      <t>: Il Test Z riporta un valore uguale 0,18 che è maggiore di 0,05. L'ipotesi quindi viene accettata in quando il valore non implica una differenza significativa tra le medie e quindi non c'è sufficiente evidenza per rifiutare l'ipotesi nulla.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</si>
</sst>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4"/>
      <name val="Comic Sans MS"/>
      <family val="4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right"/>
    </xf>
    <xf numFmtId="2" fontId="0" fillId="0" borderId="5" xfId="0" applyNumberFormat="1" applyBorder="1"/>
    <xf numFmtId="2" fontId="0" fillId="0" borderId="6" xfId="0" applyNumberFormat="1" applyBorder="1"/>
    <xf numFmtId="0" fontId="0" fillId="0" borderId="6" xfId="0" applyBorder="1"/>
    <xf numFmtId="2" fontId="0" fillId="0" borderId="4" xfId="0" applyNumberFormat="1" applyBorder="1"/>
    <xf numFmtId="2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1" fontId="0" fillId="0" borderId="5" xfId="0" applyNumberFormat="1" applyBorder="1"/>
    <xf numFmtId="0" fontId="0" fillId="0" borderId="0" xfId="0" quotePrefix="1"/>
    <xf numFmtId="2" fontId="0" fillId="2" borderId="5" xfId="0" applyNumberFormat="1" applyFill="1" applyBorder="1"/>
    <xf numFmtId="11" fontId="0" fillId="2" borderId="5" xfId="0" applyNumberFormat="1" applyFill="1" applyBorder="1"/>
    <xf numFmtId="0" fontId="0" fillId="0" borderId="0" xfId="0" applyAlignment="1">
      <alignment vertical="center" wrapText="1"/>
    </xf>
    <xf numFmtId="0" fontId="2" fillId="0" borderId="5" xfId="0" applyFont="1" applyBorder="1"/>
    <xf numFmtId="0" fontId="2" fillId="0" borderId="5" xfId="0" quotePrefix="1" applyFont="1" applyBorder="1"/>
    <xf numFmtId="2" fontId="0" fillId="0" borderId="0" xfId="0" applyNumberFormat="1"/>
    <xf numFmtId="0" fontId="0" fillId="0" borderId="6" xfId="0" applyBorder="1" applyAlignment="1">
      <alignment vertical="center"/>
    </xf>
    <xf numFmtId="2" fontId="0" fillId="0" borderId="6" xfId="0" applyNumberFormat="1" applyBorder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2" fontId="4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Correlazione Età - Gatto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'(Un)correlated Variables'!$B$1</c:f>
              <c:strCache>
                <c:ptCount val="1"/>
                <c:pt idx="0">
                  <c:v>Number of cats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'(Un)correlated Variables'!$A$2:$A$55</c:f>
              <c:numCache>
                <c:formatCode>0.00</c:formatCode>
                <c:ptCount val="54"/>
                <c:pt idx="0">
                  <c:v>32.341348446842623</c:v>
                </c:pt>
                <c:pt idx="1">
                  <c:v>40.089538144667351</c:v>
                </c:pt>
                <c:pt idx="2">
                  <c:v>37.734314765343328</c:v>
                </c:pt>
                <c:pt idx="3">
                  <c:v>44.054541543679804</c:v>
                </c:pt>
                <c:pt idx="4">
                  <c:v>38.680651489702797</c:v>
                </c:pt>
                <c:pt idx="5">
                  <c:v>39.013690953734915</c:v>
                </c:pt>
                <c:pt idx="6">
                  <c:v>48.188230863509432</c:v>
                </c:pt>
                <c:pt idx="7">
                  <c:v>39.084447921424463</c:v>
                </c:pt>
                <c:pt idx="8">
                  <c:v>42.704712151439715</c:v>
                </c:pt>
                <c:pt idx="9">
                  <c:v>44.929975169961295</c:v>
                </c:pt>
                <c:pt idx="10">
                  <c:v>40.630406767593421</c:v>
                </c:pt>
                <c:pt idx="11">
                  <c:v>51.211576532417695</c:v>
                </c:pt>
                <c:pt idx="12">
                  <c:v>51.475040729077875</c:v>
                </c:pt>
                <c:pt idx="13">
                  <c:v>45.72047631600168</c:v>
                </c:pt>
                <c:pt idx="14">
                  <c:v>37.144582718582939</c:v>
                </c:pt>
                <c:pt idx="15">
                  <c:v>45.091496694573806</c:v>
                </c:pt>
                <c:pt idx="16">
                  <c:v>47.405741415669169</c:v>
                </c:pt>
                <c:pt idx="17">
                  <c:v>47.577164481144528</c:v>
                </c:pt>
                <c:pt idx="18">
                  <c:v>42.229984802295178</c:v>
                </c:pt>
                <c:pt idx="19">
                  <c:v>48.182708397419226</c:v>
                </c:pt>
                <c:pt idx="20">
                  <c:v>42.060671517738243</c:v>
                </c:pt>
                <c:pt idx="21">
                  <c:v>43.345624528455673</c:v>
                </c:pt>
                <c:pt idx="22">
                  <c:v>43.04239390750795</c:v>
                </c:pt>
                <c:pt idx="23">
                  <c:v>36.00040245082284</c:v>
                </c:pt>
                <c:pt idx="24">
                  <c:v>38.43768218163531</c:v>
                </c:pt>
                <c:pt idx="25">
                  <c:v>41.647458250533312</c:v>
                </c:pt>
                <c:pt idx="26">
                  <c:v>42.051684481191735</c:v>
                </c:pt>
                <c:pt idx="27">
                  <c:v>44.766224149240252</c:v>
                </c:pt>
                <c:pt idx="28">
                  <c:v>46.497909544171868</c:v>
                </c:pt>
                <c:pt idx="29">
                  <c:v>41.941139604865882</c:v>
                </c:pt>
                <c:pt idx="30">
                  <c:v>43.486966137381174</c:v>
                </c:pt>
                <c:pt idx="31">
                  <c:v>49.461985581228362</c:v>
                </c:pt>
                <c:pt idx="32">
                  <c:v>39.76720303861849</c:v>
                </c:pt>
                <c:pt idx="33">
                  <c:v>42.914644149899829</c:v>
                </c:pt>
                <c:pt idx="34">
                  <c:v>44.209556621708998</c:v>
                </c:pt>
                <c:pt idx="35">
                  <c:v>46.790125417269266</c:v>
                </c:pt>
                <c:pt idx="36">
                  <c:v>46.538566937588406</c:v>
                </c:pt>
                <c:pt idx="37">
                  <c:v>46.027857729732588</c:v>
                </c:pt>
                <c:pt idx="38">
                  <c:v>45.657086323394502</c:v>
                </c:pt>
                <c:pt idx="39">
                  <c:v>49.414124848020514</c:v>
                </c:pt>
                <c:pt idx="40">
                  <c:v>46.875531260687637</c:v>
                </c:pt>
                <c:pt idx="41">
                  <c:v>47.989197408772938</c:v>
                </c:pt>
                <c:pt idx="42">
                  <c:v>44.331878117802923</c:v>
                </c:pt>
                <c:pt idx="43">
                  <c:v>43.24515598653003</c:v>
                </c:pt>
                <c:pt idx="44">
                  <c:v>47.725229069836317</c:v>
                </c:pt>
                <c:pt idx="45">
                  <c:v>45.283528433012705</c:v>
                </c:pt>
                <c:pt idx="46">
                  <c:v>48.516219528287102</c:v>
                </c:pt>
                <c:pt idx="47">
                  <c:v>48.742509982045753</c:v>
                </c:pt>
                <c:pt idx="48">
                  <c:v>39.342278746106629</c:v>
                </c:pt>
                <c:pt idx="49">
                  <c:v>46.88366606377685</c:v>
                </c:pt>
                <c:pt idx="50">
                  <c:v>47.930686199586944</c:v>
                </c:pt>
                <c:pt idx="51">
                  <c:v>45.890678414512948</c:v>
                </c:pt>
                <c:pt idx="52">
                  <c:v>43.495487201189221</c:v>
                </c:pt>
                <c:pt idx="53">
                  <c:v>48.434391710392681</c:v>
                </c:pt>
              </c:numCache>
            </c:numRef>
          </c:xVal>
          <c:yVal>
            <c:numRef>
              <c:f>'(Un)correlated Variables'!$B$2:$B$55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3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0</c:v>
                </c:pt>
                <c:pt idx="36">
                  <c:v>4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0</c:v>
                </c:pt>
                <c:pt idx="42">
                  <c:v>3</c:v>
                </c:pt>
                <c:pt idx="43">
                  <c:v>3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2</c:v>
                </c:pt>
                <c:pt idx="51">
                  <c:v>4</c:v>
                </c:pt>
                <c:pt idx="52">
                  <c:v>0</c:v>
                </c:pt>
                <c:pt idx="5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E-4B07-AD5F-A63E6F78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35960"/>
        <c:axId val="526142080"/>
      </c:scatterChart>
      <c:valAx>
        <c:axId val="526135960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Sample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6142080"/>
        <c:crosses val="autoZero"/>
        <c:crossBetween val="midCat"/>
      </c:valAx>
      <c:valAx>
        <c:axId val="5261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N. of cats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613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Correlazione</a:t>
            </a:r>
            <a:r>
              <a:rPr lang="it-IT" baseline="0"/>
              <a:t> età dei partner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'(Un)correlated Variables'!$C$1</c:f>
              <c:strCache>
                <c:ptCount val="1"/>
                <c:pt idx="0">
                  <c:v>Age of partner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'(Un)correlated Variables'!$A$2:$A$55</c:f>
              <c:numCache>
                <c:formatCode>0.00</c:formatCode>
                <c:ptCount val="54"/>
                <c:pt idx="0">
                  <c:v>32.341348446842623</c:v>
                </c:pt>
                <c:pt idx="1">
                  <c:v>40.089538144667351</c:v>
                </c:pt>
                <c:pt idx="2">
                  <c:v>37.734314765343328</c:v>
                </c:pt>
                <c:pt idx="3">
                  <c:v>44.054541543679804</c:v>
                </c:pt>
                <c:pt idx="4">
                  <c:v>38.680651489702797</c:v>
                </c:pt>
                <c:pt idx="5">
                  <c:v>39.013690953734915</c:v>
                </c:pt>
                <c:pt idx="6">
                  <c:v>48.188230863509432</c:v>
                </c:pt>
                <c:pt idx="7">
                  <c:v>39.084447921424463</c:v>
                </c:pt>
                <c:pt idx="8">
                  <c:v>42.704712151439715</c:v>
                </c:pt>
                <c:pt idx="9">
                  <c:v>44.929975169961295</c:v>
                </c:pt>
                <c:pt idx="10">
                  <c:v>40.630406767593421</c:v>
                </c:pt>
                <c:pt idx="11">
                  <c:v>51.211576532417695</c:v>
                </c:pt>
                <c:pt idx="12">
                  <c:v>51.475040729077875</c:v>
                </c:pt>
                <c:pt idx="13">
                  <c:v>45.72047631600168</c:v>
                </c:pt>
                <c:pt idx="14">
                  <c:v>37.144582718582939</c:v>
                </c:pt>
                <c:pt idx="15">
                  <c:v>45.091496694573806</c:v>
                </c:pt>
                <c:pt idx="16">
                  <c:v>47.405741415669169</c:v>
                </c:pt>
                <c:pt idx="17">
                  <c:v>47.577164481144528</c:v>
                </c:pt>
                <c:pt idx="18">
                  <c:v>42.229984802295178</c:v>
                </c:pt>
                <c:pt idx="19">
                  <c:v>48.182708397419226</c:v>
                </c:pt>
                <c:pt idx="20">
                  <c:v>42.060671517738243</c:v>
                </c:pt>
                <c:pt idx="21">
                  <c:v>43.345624528455673</c:v>
                </c:pt>
                <c:pt idx="22">
                  <c:v>43.04239390750795</c:v>
                </c:pt>
                <c:pt idx="23">
                  <c:v>36.00040245082284</c:v>
                </c:pt>
                <c:pt idx="24">
                  <c:v>38.43768218163531</c:v>
                </c:pt>
                <c:pt idx="25">
                  <c:v>41.647458250533312</c:v>
                </c:pt>
                <c:pt idx="26">
                  <c:v>42.051684481191735</c:v>
                </c:pt>
                <c:pt idx="27">
                  <c:v>44.766224149240252</c:v>
                </c:pt>
                <c:pt idx="28">
                  <c:v>46.497909544171868</c:v>
                </c:pt>
                <c:pt idx="29">
                  <c:v>41.941139604865882</c:v>
                </c:pt>
                <c:pt idx="30">
                  <c:v>43.486966137381174</c:v>
                </c:pt>
                <c:pt idx="31">
                  <c:v>49.461985581228362</c:v>
                </c:pt>
                <c:pt idx="32">
                  <c:v>39.76720303861849</c:v>
                </c:pt>
                <c:pt idx="33">
                  <c:v>42.914644149899829</c:v>
                </c:pt>
                <c:pt idx="34">
                  <c:v>44.209556621708998</c:v>
                </c:pt>
                <c:pt idx="35">
                  <c:v>46.790125417269266</c:v>
                </c:pt>
                <c:pt idx="36">
                  <c:v>46.538566937588406</c:v>
                </c:pt>
                <c:pt idx="37">
                  <c:v>46.027857729732588</c:v>
                </c:pt>
                <c:pt idx="38">
                  <c:v>45.657086323394502</c:v>
                </c:pt>
                <c:pt idx="39">
                  <c:v>49.414124848020514</c:v>
                </c:pt>
                <c:pt idx="40">
                  <c:v>46.875531260687637</c:v>
                </c:pt>
                <c:pt idx="41">
                  <c:v>47.989197408772938</c:v>
                </c:pt>
                <c:pt idx="42">
                  <c:v>44.331878117802923</c:v>
                </c:pt>
                <c:pt idx="43">
                  <c:v>43.24515598653003</c:v>
                </c:pt>
                <c:pt idx="44">
                  <c:v>47.725229069836317</c:v>
                </c:pt>
                <c:pt idx="45">
                  <c:v>45.283528433012705</c:v>
                </c:pt>
                <c:pt idx="46">
                  <c:v>48.516219528287102</c:v>
                </c:pt>
                <c:pt idx="47">
                  <c:v>48.742509982045753</c:v>
                </c:pt>
                <c:pt idx="48">
                  <c:v>39.342278746106629</c:v>
                </c:pt>
                <c:pt idx="49">
                  <c:v>46.88366606377685</c:v>
                </c:pt>
                <c:pt idx="50">
                  <c:v>47.930686199586944</c:v>
                </c:pt>
                <c:pt idx="51">
                  <c:v>45.890678414512948</c:v>
                </c:pt>
                <c:pt idx="52">
                  <c:v>43.495487201189221</c:v>
                </c:pt>
                <c:pt idx="53">
                  <c:v>48.434391710392681</c:v>
                </c:pt>
              </c:numCache>
            </c:numRef>
          </c:xVal>
          <c:yVal>
            <c:numRef>
              <c:f>'(Un)correlated Variables'!$C$2:$C$55</c:f>
              <c:numCache>
                <c:formatCode>0</c:formatCode>
                <c:ptCount val="54"/>
                <c:pt idx="0">
                  <c:v>43.012679414095935</c:v>
                </c:pt>
                <c:pt idx="1">
                  <c:v>45.408294001068995</c:v>
                </c:pt>
                <c:pt idx="2">
                  <c:v>44.844870498779159</c:v>
                </c:pt>
                <c:pt idx="3">
                  <c:v>46.983107512892126</c:v>
                </c:pt>
                <c:pt idx="4">
                  <c:v>41.355816116453397</c:v>
                </c:pt>
                <c:pt idx="5">
                  <c:v>43.830443609706812</c:v>
                </c:pt>
                <c:pt idx="6">
                  <c:v>49.475765722085683</c:v>
                </c:pt>
                <c:pt idx="7">
                  <c:v>45.341670521252524</c:v>
                </c:pt>
                <c:pt idx="8">
                  <c:v>48.17397315698021</c:v>
                </c:pt>
                <c:pt idx="9">
                  <c:v>37.208782432694932</c:v>
                </c:pt>
                <c:pt idx="10">
                  <c:v>36.53498083161611</c:v>
                </c:pt>
                <c:pt idx="11">
                  <c:v>49.151389471935751</c:v>
                </c:pt>
                <c:pt idx="12">
                  <c:v>45.443340891564091</c:v>
                </c:pt>
                <c:pt idx="13">
                  <c:v>34.341558798518797</c:v>
                </c:pt>
                <c:pt idx="14">
                  <c:v>38.648393485858449</c:v>
                </c:pt>
                <c:pt idx="15">
                  <c:v>46.259733882101351</c:v>
                </c:pt>
                <c:pt idx="16">
                  <c:v>47.142055793648005</c:v>
                </c:pt>
                <c:pt idx="17">
                  <c:v>46.291753151822654</c:v>
                </c:pt>
                <c:pt idx="18">
                  <c:v>43.91387743729981</c:v>
                </c:pt>
                <c:pt idx="19">
                  <c:v>40.388209150993724</c:v>
                </c:pt>
                <c:pt idx="20">
                  <c:v>47.043141332213139</c:v>
                </c:pt>
                <c:pt idx="21">
                  <c:v>45.890223287377552</c:v>
                </c:pt>
                <c:pt idx="22">
                  <c:v>42.989853300590333</c:v>
                </c:pt>
                <c:pt idx="23">
                  <c:v>40.694848449825038</c:v>
                </c:pt>
                <c:pt idx="24">
                  <c:v>46.457747297650592</c:v>
                </c:pt>
                <c:pt idx="25">
                  <c:v>39.018490328944921</c:v>
                </c:pt>
                <c:pt idx="26">
                  <c:v>35.196169258606879</c:v>
                </c:pt>
                <c:pt idx="27">
                  <c:v>43.30345040763455</c:v>
                </c:pt>
                <c:pt idx="28">
                  <c:v>40.409438360414299</c:v>
                </c:pt>
                <c:pt idx="29">
                  <c:v>49.402167445638185</c:v>
                </c:pt>
                <c:pt idx="30">
                  <c:v>43.439554645661339</c:v>
                </c:pt>
                <c:pt idx="31">
                  <c:v>44.04013089924846</c:v>
                </c:pt>
                <c:pt idx="32">
                  <c:v>47.701936079670382</c:v>
                </c:pt>
                <c:pt idx="33">
                  <c:v>45.852828718648937</c:v>
                </c:pt>
                <c:pt idx="34">
                  <c:v>44.738694700827118</c:v>
                </c:pt>
                <c:pt idx="35">
                  <c:v>54.826594832636708</c:v>
                </c:pt>
                <c:pt idx="36">
                  <c:v>44.934435263227826</c:v>
                </c:pt>
                <c:pt idx="37">
                  <c:v>40.289585575583118</c:v>
                </c:pt>
                <c:pt idx="38">
                  <c:v>44.919821616025068</c:v>
                </c:pt>
                <c:pt idx="39">
                  <c:v>49.403218789838618</c:v>
                </c:pt>
                <c:pt idx="40">
                  <c:v>43.525567741229182</c:v>
                </c:pt>
                <c:pt idx="41">
                  <c:v>48.940433691103806</c:v>
                </c:pt>
                <c:pt idx="42">
                  <c:v>41.496706794943684</c:v>
                </c:pt>
                <c:pt idx="43">
                  <c:v>45.973377580335359</c:v>
                </c:pt>
                <c:pt idx="44">
                  <c:v>42.00556335122031</c:v>
                </c:pt>
                <c:pt idx="45">
                  <c:v>47.280865162931811</c:v>
                </c:pt>
                <c:pt idx="46">
                  <c:v>42.2541824331838</c:v>
                </c:pt>
                <c:pt idx="47">
                  <c:v>47.18358073234419</c:v>
                </c:pt>
                <c:pt idx="48">
                  <c:v>42.480988412722731</c:v>
                </c:pt>
                <c:pt idx="49">
                  <c:v>45.487441746458359</c:v>
                </c:pt>
                <c:pt idx="50">
                  <c:v>41.888542287511093</c:v>
                </c:pt>
                <c:pt idx="51">
                  <c:v>41.512571493858616</c:v>
                </c:pt>
                <c:pt idx="52">
                  <c:v>48.511878064746057</c:v>
                </c:pt>
                <c:pt idx="53">
                  <c:v>44.644277400080483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1-4416-B1C6-29CED36AC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161456"/>
        <c:axId val="680161816"/>
      </c:scatterChart>
      <c:valAx>
        <c:axId val="680161456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Sample</a:t>
                </a:r>
                <a:r>
                  <a:rPr lang="it-IT" baseline="0"/>
                  <a:t> data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0161816"/>
        <c:crosses val="autoZero"/>
        <c:crossBetween val="midCat"/>
      </c:valAx>
      <c:valAx>
        <c:axId val="68016181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Age of partner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016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Regressione lineare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Rank(X)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2925415573053368E-2"/>
                  <c:y val="-0.30197433654126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2880358705161854E-2"/>
                  <c:y val="-0.251048410615339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'Linear regression'!$A$2:$A$251</c:f>
              <c:numCache>
                <c:formatCode>0.00</c:formatCode>
                <c:ptCount val="250"/>
                <c:pt idx="0">
                  <c:v>32.341348446842623</c:v>
                </c:pt>
                <c:pt idx="1">
                  <c:v>40.089538144667351</c:v>
                </c:pt>
                <c:pt idx="2">
                  <c:v>37.734314765343328</c:v>
                </c:pt>
                <c:pt idx="3">
                  <c:v>48.954328016663531</c:v>
                </c:pt>
                <c:pt idx="4">
                  <c:v>42.175914134335777</c:v>
                </c:pt>
                <c:pt idx="5">
                  <c:v>44.054541543679804</c:v>
                </c:pt>
                <c:pt idx="6">
                  <c:v>48.633313281584087</c:v>
                </c:pt>
                <c:pt idx="7">
                  <c:v>46.469210530203</c:v>
                </c:pt>
                <c:pt idx="8">
                  <c:v>47.904616152913832</c:v>
                </c:pt>
                <c:pt idx="9">
                  <c:v>38.680651489702797</c:v>
                </c:pt>
                <c:pt idx="10">
                  <c:v>45.950752545369312</c:v>
                </c:pt>
                <c:pt idx="11">
                  <c:v>40.064490753632256</c:v>
                </c:pt>
                <c:pt idx="12">
                  <c:v>45.374397103849105</c:v>
                </c:pt>
                <c:pt idx="13">
                  <c:v>46.77035252788275</c:v>
                </c:pt>
                <c:pt idx="14">
                  <c:v>43.68003553425774</c:v>
                </c:pt>
                <c:pt idx="15">
                  <c:v>42.277839502906552</c:v>
                </c:pt>
                <c:pt idx="16">
                  <c:v>39.013690953734915</c:v>
                </c:pt>
                <c:pt idx="17">
                  <c:v>41.906611791879364</c:v>
                </c:pt>
                <c:pt idx="18">
                  <c:v>46.185543128916294</c:v>
                </c:pt>
                <c:pt idx="19">
                  <c:v>44.310984620414025</c:v>
                </c:pt>
                <c:pt idx="20">
                  <c:v>37.548149743393402</c:v>
                </c:pt>
                <c:pt idx="21">
                  <c:v>48.188230863509432</c:v>
                </c:pt>
                <c:pt idx="22">
                  <c:v>40.897120258406765</c:v>
                </c:pt>
                <c:pt idx="23">
                  <c:v>39.281136454793241</c:v>
                </c:pt>
                <c:pt idx="24">
                  <c:v>46.907224843992182</c:v>
                </c:pt>
                <c:pt idx="25">
                  <c:v>37.053401825432033</c:v>
                </c:pt>
                <c:pt idx="26">
                  <c:v>50.759767807981675</c:v>
                </c:pt>
                <c:pt idx="27">
                  <c:v>44.192973567047744</c:v>
                </c:pt>
                <c:pt idx="28">
                  <c:v>39.084447921424463</c:v>
                </c:pt>
                <c:pt idx="29">
                  <c:v>43.814454599433162</c:v>
                </c:pt>
                <c:pt idx="30">
                  <c:v>49.425777275669049</c:v>
                </c:pt>
                <c:pt idx="31">
                  <c:v>47.680253767585505</c:v>
                </c:pt>
                <c:pt idx="32">
                  <c:v>40.913898362926616</c:v>
                </c:pt>
                <c:pt idx="33">
                  <c:v>50.936759679994623</c:v>
                </c:pt>
                <c:pt idx="34">
                  <c:v>38.709368467843248</c:v>
                </c:pt>
                <c:pt idx="35">
                  <c:v>38.001734275765038</c:v>
                </c:pt>
                <c:pt idx="36">
                  <c:v>41.208664543822955</c:v>
                </c:pt>
                <c:pt idx="37">
                  <c:v>40.007779676143173</c:v>
                </c:pt>
                <c:pt idx="38">
                  <c:v>51.392788858413752</c:v>
                </c:pt>
                <c:pt idx="39">
                  <c:v>46.948868820675877</c:v>
                </c:pt>
                <c:pt idx="40">
                  <c:v>45.074112967662096</c:v>
                </c:pt>
                <c:pt idx="41">
                  <c:v>47.706766085820092</c:v>
                </c:pt>
                <c:pt idx="42">
                  <c:v>51.622310860567595</c:v>
                </c:pt>
                <c:pt idx="43">
                  <c:v>45.06099098559676</c:v>
                </c:pt>
                <c:pt idx="44">
                  <c:v>45.814009367567493</c:v>
                </c:pt>
                <c:pt idx="45">
                  <c:v>45.998038124263232</c:v>
                </c:pt>
                <c:pt idx="46">
                  <c:v>43.425744921008565</c:v>
                </c:pt>
                <c:pt idx="47">
                  <c:v>45.898692843185799</c:v>
                </c:pt>
                <c:pt idx="48">
                  <c:v>45.254443871030283</c:v>
                </c:pt>
                <c:pt idx="49">
                  <c:v>47.277039620318604</c:v>
                </c:pt>
                <c:pt idx="50">
                  <c:v>49.672699992539357</c:v>
                </c:pt>
                <c:pt idx="51">
                  <c:v>42.704712151439715</c:v>
                </c:pt>
                <c:pt idx="52">
                  <c:v>44.738958901729568</c:v>
                </c:pt>
                <c:pt idx="53">
                  <c:v>42.109654831363514</c:v>
                </c:pt>
                <c:pt idx="54">
                  <c:v>45.039150496699484</c:v>
                </c:pt>
                <c:pt idx="55">
                  <c:v>48.298594683578472</c:v>
                </c:pt>
                <c:pt idx="56">
                  <c:v>48.41022895795151</c:v>
                </c:pt>
                <c:pt idx="57">
                  <c:v>53.095967480002827</c:v>
                </c:pt>
                <c:pt idx="58">
                  <c:v>45.975233492116239</c:v>
                </c:pt>
                <c:pt idx="59">
                  <c:v>39.271092867327845</c:v>
                </c:pt>
                <c:pt idx="60">
                  <c:v>48.881721547267844</c:v>
                </c:pt>
                <c:pt idx="61">
                  <c:v>48.027314719316017</c:v>
                </c:pt>
                <c:pt idx="62">
                  <c:v>36.793395417794002</c:v>
                </c:pt>
                <c:pt idx="63">
                  <c:v>44.929975169961295</c:v>
                </c:pt>
                <c:pt idx="64">
                  <c:v>43.313987266244062</c:v>
                </c:pt>
                <c:pt idx="65">
                  <c:v>44.26677595795784</c:v>
                </c:pt>
                <c:pt idx="66">
                  <c:v>45.179808178377286</c:v>
                </c:pt>
                <c:pt idx="67">
                  <c:v>52.435842476626071</c:v>
                </c:pt>
                <c:pt idx="68">
                  <c:v>40.881383917611672</c:v>
                </c:pt>
                <c:pt idx="69">
                  <c:v>52.490897346829087</c:v>
                </c:pt>
                <c:pt idx="70">
                  <c:v>43.990669781348117</c:v>
                </c:pt>
                <c:pt idx="71">
                  <c:v>43.419950256776239</c:v>
                </c:pt>
                <c:pt idx="72">
                  <c:v>48.780998615165828</c:v>
                </c:pt>
                <c:pt idx="73">
                  <c:v>45.053157114668082</c:v>
                </c:pt>
                <c:pt idx="74">
                  <c:v>50.699960044961003</c:v>
                </c:pt>
                <c:pt idx="75">
                  <c:v>40.324119952849436</c:v>
                </c:pt>
                <c:pt idx="76">
                  <c:v>40.630406767593421</c:v>
                </c:pt>
                <c:pt idx="77">
                  <c:v>49.453048334275486</c:v>
                </c:pt>
                <c:pt idx="78">
                  <c:v>45.856445709363115</c:v>
                </c:pt>
                <c:pt idx="79">
                  <c:v>51.211576532417695</c:v>
                </c:pt>
                <c:pt idx="80">
                  <c:v>51.541323305405868</c:v>
                </c:pt>
                <c:pt idx="81">
                  <c:v>51.475040729077875</c:v>
                </c:pt>
                <c:pt idx="82">
                  <c:v>51.465080354010098</c:v>
                </c:pt>
                <c:pt idx="83">
                  <c:v>48.500314559815138</c:v>
                </c:pt>
                <c:pt idx="84">
                  <c:v>47.000076528572365</c:v>
                </c:pt>
                <c:pt idx="85">
                  <c:v>43.123545317038847</c:v>
                </c:pt>
                <c:pt idx="86">
                  <c:v>45.72047631600168</c:v>
                </c:pt>
                <c:pt idx="87">
                  <c:v>50.558870265000145</c:v>
                </c:pt>
                <c:pt idx="88">
                  <c:v>37.144582718582939</c:v>
                </c:pt>
                <c:pt idx="89">
                  <c:v>40.72370373040706</c:v>
                </c:pt>
                <c:pt idx="90">
                  <c:v>46.914904787651857</c:v>
                </c:pt>
                <c:pt idx="91">
                  <c:v>49.362383878039836</c:v>
                </c:pt>
                <c:pt idx="92">
                  <c:v>44.921298848223714</c:v>
                </c:pt>
                <c:pt idx="93">
                  <c:v>39.980835124416892</c:v>
                </c:pt>
                <c:pt idx="94">
                  <c:v>42.06150237035294</c:v>
                </c:pt>
                <c:pt idx="95">
                  <c:v>45.091496694573806</c:v>
                </c:pt>
                <c:pt idx="96">
                  <c:v>43.399300340386709</c:v>
                </c:pt>
                <c:pt idx="97">
                  <c:v>38.279550312735118</c:v>
                </c:pt>
                <c:pt idx="98">
                  <c:v>47.405741415669169</c:v>
                </c:pt>
                <c:pt idx="99">
                  <c:v>38.818591064230546</c:v>
                </c:pt>
                <c:pt idx="100">
                  <c:v>45.078257453994844</c:v>
                </c:pt>
                <c:pt idx="101">
                  <c:v>47.577164481144528</c:v>
                </c:pt>
                <c:pt idx="102">
                  <c:v>43.920609143032607</c:v>
                </c:pt>
                <c:pt idx="103">
                  <c:v>44.911082044964942</c:v>
                </c:pt>
                <c:pt idx="104">
                  <c:v>38.489381127568905</c:v>
                </c:pt>
                <c:pt idx="105">
                  <c:v>40.74332017534558</c:v>
                </c:pt>
                <c:pt idx="106">
                  <c:v>43.604860712944237</c:v>
                </c:pt>
                <c:pt idx="107">
                  <c:v>46.499119708748879</c:v>
                </c:pt>
                <c:pt idx="108">
                  <c:v>42.229984802295178</c:v>
                </c:pt>
                <c:pt idx="109">
                  <c:v>46.867135823866299</c:v>
                </c:pt>
                <c:pt idx="110">
                  <c:v>48.182708397419226</c:v>
                </c:pt>
                <c:pt idx="111">
                  <c:v>49.724037143325532</c:v>
                </c:pt>
                <c:pt idx="112">
                  <c:v>39.838226657712838</c:v>
                </c:pt>
                <c:pt idx="113">
                  <c:v>43.179826710339249</c:v>
                </c:pt>
                <c:pt idx="114">
                  <c:v>42.060671517738243</c:v>
                </c:pt>
                <c:pt idx="115">
                  <c:v>41.996357169806629</c:v>
                </c:pt>
                <c:pt idx="116">
                  <c:v>42.9138405429456</c:v>
                </c:pt>
                <c:pt idx="117">
                  <c:v>44.399218869946985</c:v>
                </c:pt>
                <c:pt idx="118">
                  <c:v>44.250433285414701</c:v>
                </c:pt>
                <c:pt idx="119">
                  <c:v>42.4977118435352</c:v>
                </c:pt>
                <c:pt idx="120">
                  <c:v>43.345624528455673</c:v>
                </c:pt>
                <c:pt idx="121">
                  <c:v>42.524955275012388</c:v>
                </c:pt>
                <c:pt idx="122">
                  <c:v>42.16277795977193</c:v>
                </c:pt>
                <c:pt idx="123">
                  <c:v>46.493834513662264</c:v>
                </c:pt>
                <c:pt idx="124">
                  <c:v>44.621403532110406</c:v>
                </c:pt>
                <c:pt idx="125">
                  <c:v>38.624434938296758</c:v>
                </c:pt>
                <c:pt idx="126">
                  <c:v>41.760501839298399</c:v>
                </c:pt>
                <c:pt idx="127">
                  <c:v>43.04239390750795</c:v>
                </c:pt>
                <c:pt idx="128">
                  <c:v>49.910920796413784</c:v>
                </c:pt>
                <c:pt idx="129">
                  <c:v>50.105883182483439</c:v>
                </c:pt>
                <c:pt idx="130">
                  <c:v>47.262159436700159</c:v>
                </c:pt>
                <c:pt idx="131">
                  <c:v>48.250578320718148</c:v>
                </c:pt>
                <c:pt idx="132">
                  <c:v>48.52980749891492</c:v>
                </c:pt>
                <c:pt idx="133">
                  <c:v>36.00040245082284</c:v>
                </c:pt>
                <c:pt idx="134">
                  <c:v>42.089389622157555</c:v>
                </c:pt>
                <c:pt idx="135">
                  <c:v>38.43768218163531</c:v>
                </c:pt>
                <c:pt idx="136">
                  <c:v>41.647458250533312</c:v>
                </c:pt>
                <c:pt idx="137">
                  <c:v>44.4831447606173</c:v>
                </c:pt>
                <c:pt idx="138">
                  <c:v>41.418689711098402</c:v>
                </c:pt>
                <c:pt idx="139">
                  <c:v>46.875948227397785</c:v>
                </c:pt>
                <c:pt idx="140">
                  <c:v>42.051684481191735</c:v>
                </c:pt>
                <c:pt idx="141">
                  <c:v>44.766224149240252</c:v>
                </c:pt>
                <c:pt idx="142">
                  <c:v>44.203998435772014</c:v>
                </c:pt>
                <c:pt idx="143">
                  <c:v>46.497909544171868</c:v>
                </c:pt>
                <c:pt idx="144">
                  <c:v>42.680728469282172</c:v>
                </c:pt>
                <c:pt idx="145">
                  <c:v>44.35942177075745</c:v>
                </c:pt>
                <c:pt idx="146">
                  <c:v>41.691378530303332</c:v>
                </c:pt>
                <c:pt idx="147">
                  <c:v>42.576904706481074</c:v>
                </c:pt>
                <c:pt idx="148">
                  <c:v>47.625269268229424</c:v>
                </c:pt>
                <c:pt idx="149">
                  <c:v>41.941139604865882</c:v>
                </c:pt>
                <c:pt idx="150">
                  <c:v>43.486966137381174</c:v>
                </c:pt>
                <c:pt idx="151">
                  <c:v>49.563552182453584</c:v>
                </c:pt>
                <c:pt idx="152">
                  <c:v>46.677581278950363</c:v>
                </c:pt>
                <c:pt idx="153">
                  <c:v>46.784427602764104</c:v>
                </c:pt>
                <c:pt idx="154">
                  <c:v>49.461985581228362</c:v>
                </c:pt>
                <c:pt idx="155">
                  <c:v>45.141294581214247</c:v>
                </c:pt>
                <c:pt idx="156">
                  <c:v>42.261479044406819</c:v>
                </c:pt>
                <c:pt idx="157">
                  <c:v>44.461143497762478</c:v>
                </c:pt>
                <c:pt idx="158">
                  <c:v>45.015703792393396</c:v>
                </c:pt>
                <c:pt idx="159">
                  <c:v>47.770291947298006</c:v>
                </c:pt>
                <c:pt idx="160">
                  <c:v>46.592110675748813</c:v>
                </c:pt>
                <c:pt idx="161">
                  <c:v>44.896104048630811</c:v>
                </c:pt>
                <c:pt idx="162">
                  <c:v>39.76720303861849</c:v>
                </c:pt>
                <c:pt idx="163">
                  <c:v>44.228703274208641</c:v>
                </c:pt>
                <c:pt idx="164">
                  <c:v>42.914644149899829</c:v>
                </c:pt>
                <c:pt idx="165">
                  <c:v>50.181466524471972</c:v>
                </c:pt>
                <c:pt idx="166">
                  <c:v>42.52297321450348</c:v>
                </c:pt>
                <c:pt idx="167">
                  <c:v>45.678435594434028</c:v>
                </c:pt>
                <c:pt idx="168">
                  <c:v>51.712059563567308</c:v>
                </c:pt>
                <c:pt idx="169">
                  <c:v>46.696614804525957</c:v>
                </c:pt>
                <c:pt idx="170">
                  <c:v>53.062941471738156</c:v>
                </c:pt>
                <c:pt idx="171">
                  <c:v>39.883497832335543</c:v>
                </c:pt>
                <c:pt idx="172">
                  <c:v>46.573846445781506</c:v>
                </c:pt>
                <c:pt idx="173">
                  <c:v>46.21161443825342</c:v>
                </c:pt>
                <c:pt idx="174">
                  <c:v>42.80145376949055</c:v>
                </c:pt>
                <c:pt idx="175">
                  <c:v>44.209556621708998</c:v>
                </c:pt>
                <c:pt idx="176">
                  <c:v>36.880310817916438</c:v>
                </c:pt>
                <c:pt idx="177">
                  <c:v>46.516199447639963</c:v>
                </c:pt>
                <c:pt idx="178">
                  <c:v>46.790125417269266</c:v>
                </c:pt>
                <c:pt idx="179">
                  <c:v>46.538566937588406</c:v>
                </c:pt>
                <c:pt idx="180">
                  <c:v>47.377719403128346</c:v>
                </c:pt>
                <c:pt idx="181">
                  <c:v>35.269111568196891</c:v>
                </c:pt>
                <c:pt idx="182">
                  <c:v>46.027857729732588</c:v>
                </c:pt>
                <c:pt idx="183">
                  <c:v>50.239848247478996</c:v>
                </c:pt>
                <c:pt idx="184">
                  <c:v>41.16511069620406</c:v>
                </c:pt>
                <c:pt idx="185">
                  <c:v>42.24835425380423</c:v>
                </c:pt>
                <c:pt idx="186">
                  <c:v>50.474189293941919</c:v>
                </c:pt>
                <c:pt idx="187">
                  <c:v>42.846548517806575</c:v>
                </c:pt>
                <c:pt idx="188">
                  <c:v>45.657086323394502</c:v>
                </c:pt>
                <c:pt idx="189">
                  <c:v>46.368754836693</c:v>
                </c:pt>
                <c:pt idx="190">
                  <c:v>43.006832493391649</c:v>
                </c:pt>
                <c:pt idx="191">
                  <c:v>49.414124848020514</c:v>
                </c:pt>
                <c:pt idx="192">
                  <c:v>46.875531260687637</c:v>
                </c:pt>
                <c:pt idx="193">
                  <c:v>47.989197408772938</c:v>
                </c:pt>
                <c:pt idx="194">
                  <c:v>39.699334354725508</c:v>
                </c:pt>
                <c:pt idx="195">
                  <c:v>44.331878117802923</c:v>
                </c:pt>
                <c:pt idx="196">
                  <c:v>50.718886788037253</c:v>
                </c:pt>
                <c:pt idx="197">
                  <c:v>42.133133460945203</c:v>
                </c:pt>
                <c:pt idx="198">
                  <c:v>45.488249298776218</c:v>
                </c:pt>
                <c:pt idx="199">
                  <c:v>44.230427022211757</c:v>
                </c:pt>
                <c:pt idx="200">
                  <c:v>45.044282674671059</c:v>
                </c:pt>
                <c:pt idx="201">
                  <c:v>47.873671023346617</c:v>
                </c:pt>
                <c:pt idx="202">
                  <c:v>48.864458317440118</c:v>
                </c:pt>
                <c:pt idx="203">
                  <c:v>44.926014051928064</c:v>
                </c:pt>
                <c:pt idx="204">
                  <c:v>43.039269687906817</c:v>
                </c:pt>
                <c:pt idx="205">
                  <c:v>42.505219556211252</c:v>
                </c:pt>
                <c:pt idx="206">
                  <c:v>46.929627249201303</c:v>
                </c:pt>
                <c:pt idx="207">
                  <c:v>44.359675923914274</c:v>
                </c:pt>
                <c:pt idx="208">
                  <c:v>48.528251570733104</c:v>
                </c:pt>
                <c:pt idx="209">
                  <c:v>43.24515598653003</c:v>
                </c:pt>
                <c:pt idx="210">
                  <c:v>48.51963488743479</c:v>
                </c:pt>
                <c:pt idx="211">
                  <c:v>48.563856032012922</c:v>
                </c:pt>
                <c:pt idx="212">
                  <c:v>46.806466597568814</c:v>
                </c:pt>
                <c:pt idx="213">
                  <c:v>44.543215284659873</c:v>
                </c:pt>
                <c:pt idx="214">
                  <c:v>51.815588898891363</c:v>
                </c:pt>
                <c:pt idx="215">
                  <c:v>38.811823441892798</c:v>
                </c:pt>
                <c:pt idx="216">
                  <c:v>47.725229069836317</c:v>
                </c:pt>
                <c:pt idx="217">
                  <c:v>43.835887201513422</c:v>
                </c:pt>
                <c:pt idx="218">
                  <c:v>45.952260650448551</c:v>
                </c:pt>
                <c:pt idx="219">
                  <c:v>40.886223215896671</c:v>
                </c:pt>
                <c:pt idx="220">
                  <c:v>47.247355083640912</c:v>
                </c:pt>
                <c:pt idx="221">
                  <c:v>37.655894254273015</c:v>
                </c:pt>
                <c:pt idx="222">
                  <c:v>45.76482095530173</c:v>
                </c:pt>
                <c:pt idx="223">
                  <c:v>44.704230917480096</c:v>
                </c:pt>
                <c:pt idx="224">
                  <c:v>45.890951438216547</c:v>
                </c:pt>
                <c:pt idx="225">
                  <c:v>41.866177646826664</c:v>
                </c:pt>
                <c:pt idx="226">
                  <c:v>45.283528433012705</c:v>
                </c:pt>
                <c:pt idx="227">
                  <c:v>43.513649445562891</c:v>
                </c:pt>
                <c:pt idx="228">
                  <c:v>43.886192875506104</c:v>
                </c:pt>
                <c:pt idx="229">
                  <c:v>48.516219528287102</c:v>
                </c:pt>
                <c:pt idx="230">
                  <c:v>48.742509982045753</c:v>
                </c:pt>
                <c:pt idx="231">
                  <c:v>42.246513235610649</c:v>
                </c:pt>
                <c:pt idx="232">
                  <c:v>49.500650527796296</c:v>
                </c:pt>
                <c:pt idx="233">
                  <c:v>47.295221980570368</c:v>
                </c:pt>
                <c:pt idx="234">
                  <c:v>39.342278746106629</c:v>
                </c:pt>
                <c:pt idx="235">
                  <c:v>46.88366606377685</c:v>
                </c:pt>
                <c:pt idx="236">
                  <c:v>43.238880907730149</c:v>
                </c:pt>
                <c:pt idx="237">
                  <c:v>47.930686199586944</c:v>
                </c:pt>
                <c:pt idx="238">
                  <c:v>46.842324372296375</c:v>
                </c:pt>
                <c:pt idx="239">
                  <c:v>45.890678414512948</c:v>
                </c:pt>
                <c:pt idx="240">
                  <c:v>43.495487201189221</c:v>
                </c:pt>
                <c:pt idx="241">
                  <c:v>46.493308686362802</c:v>
                </c:pt>
                <c:pt idx="242">
                  <c:v>49.478232659240319</c:v>
                </c:pt>
                <c:pt idx="243">
                  <c:v>45.525927928143297</c:v>
                </c:pt>
                <c:pt idx="244">
                  <c:v>48.434391710392681</c:v>
                </c:pt>
                <c:pt idx="245">
                  <c:v>53.352329525316904</c:v>
                </c:pt>
                <c:pt idx="246">
                  <c:v>44.707679670816198</c:v>
                </c:pt>
                <c:pt idx="247">
                  <c:v>40.488360462497496</c:v>
                </c:pt>
                <c:pt idx="248">
                  <c:v>39.284798658068688</c:v>
                </c:pt>
                <c:pt idx="249">
                  <c:v>38.581716773612762</c:v>
                </c:pt>
              </c:numCache>
            </c:numRef>
          </c:xVal>
          <c:yVal>
            <c:numRef>
              <c:f>'Linear regression'!$B$2:$B$251</c:f>
              <c:numCache>
                <c:formatCode>General</c:formatCode>
                <c:ptCount val="2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7F-42D8-9464-2241D94E5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172256"/>
        <c:axId val="680174056"/>
      </c:scatterChart>
      <c:valAx>
        <c:axId val="680172256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0174056"/>
        <c:crosses val="autoZero"/>
        <c:crossBetween val="midCat"/>
      </c:valAx>
      <c:valAx>
        <c:axId val="68017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0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566737</xdr:colOff>
      <xdr:row>4</xdr:row>
      <xdr:rowOff>166687</xdr:rowOff>
    </xdr:from>
    <xdr:to>
      <xdr:col>8</xdr:col>
      <xdr:colOff>604837</xdr:colOff>
      <xdr:row>19</xdr:row>
      <xdr:rowOff>52387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DF8A8C4-D75F-9954-62EB-7FDAE7D28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604837</xdr:colOff>
      <xdr:row>24</xdr:row>
      <xdr:rowOff>185737</xdr:rowOff>
    </xdr:from>
    <xdr:to>
      <xdr:col>9</xdr:col>
      <xdr:colOff>33337</xdr:colOff>
      <xdr:row>39</xdr:row>
      <xdr:rowOff>71437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34F68F4-9472-46E3-1FDB-313597834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119062</xdr:rowOff>
    </xdr:from>
    <xdr:to>
      <xdr:col>9</xdr:col>
      <xdr:colOff>276225</xdr:colOff>
      <xdr:row>17</xdr:row>
      <xdr:rowOff>4762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D477281-66AB-F608-CD6B-C09A7E548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CCA0-2A0B-4F2B-A2DE-E7AD0D51444E}">
  <dimension ref="A1:G4"/>
  <sheetViews>
    <sheetView showGridLines="0" workbookViewId="0">
      <selection activeCell="A9" sqref="A9"/>
    </sheetView>
  </sheetViews>
  <sheetFormatPr defaultRowHeight="15" x14ac:dyDescent="0.25"/>
  <cols>
    <col min="1" max="1" width="19.140625" customWidth="1"/>
    <col min="3" max="3" width="3.85546875" customWidth="1"/>
  </cols>
  <sheetData>
    <row r="1" spans="1:7" ht="21" thickTop="1" thickBot="1" x14ac:dyDescent="0.3">
      <c r="A1" s="30" t="s">
        <v>0</v>
      </c>
      <c r="B1" s="31"/>
    </row>
    <row r="2" spans="1:7" ht="15.75" thickTop="1" x14ac:dyDescent="0.25">
      <c r="A2" s="1" t="s">
        <v>1</v>
      </c>
      <c r="B2" s="4" t="s">
        <v>4</v>
      </c>
      <c r="D2" s="32" t="s">
        <v>7</v>
      </c>
      <c r="E2" s="33"/>
      <c r="F2" s="33"/>
      <c r="G2" s="34"/>
    </row>
    <row r="3" spans="1:7" x14ac:dyDescent="0.25">
      <c r="A3" s="2" t="s">
        <v>2</v>
      </c>
      <c r="B3" s="2">
        <v>45</v>
      </c>
      <c r="D3" s="35"/>
      <c r="E3" s="36"/>
      <c r="F3" s="36"/>
      <c r="G3" s="37"/>
    </row>
    <row r="4" spans="1:7" x14ac:dyDescent="0.25">
      <c r="A4" s="2" t="s">
        <v>3</v>
      </c>
      <c r="B4" s="2">
        <v>3.85</v>
      </c>
      <c r="D4" s="38"/>
      <c r="E4" s="39"/>
      <c r="F4" s="39"/>
      <c r="G4" s="40"/>
    </row>
  </sheetData>
  <mergeCells count="2">
    <mergeCell ref="A1:B1"/>
    <mergeCell ref="D2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D8BC-52D2-4C98-86C7-179639D0DEA0}">
  <dimension ref="A1:R251"/>
  <sheetViews>
    <sheetView showGridLines="0" workbookViewId="0">
      <selection activeCell="F14" sqref="F14"/>
    </sheetView>
  </sheetViews>
  <sheetFormatPr defaultRowHeight="15" x14ac:dyDescent="0.25"/>
  <cols>
    <col min="2" max="2" width="8.85546875" customWidth="1"/>
    <col min="3" max="3" width="3" customWidth="1"/>
  </cols>
  <sheetData>
    <row r="1" spans="1:18" ht="16.5" customHeight="1" thickTop="1" thickBot="1" x14ac:dyDescent="0.3">
      <c r="A1" s="3" t="s">
        <v>5</v>
      </c>
      <c r="B1" s="3" t="s">
        <v>6</v>
      </c>
    </row>
    <row r="2" spans="1:18" ht="15.75" thickTop="1" x14ac:dyDescent="0.25">
      <c r="A2" s="6">
        <v>32.341348446842623</v>
      </c>
      <c r="B2" s="7">
        <v>3</v>
      </c>
    </row>
    <row r="3" spans="1:18" x14ac:dyDescent="0.25">
      <c r="A3" s="5">
        <v>40.089538144667351</v>
      </c>
      <c r="B3" s="2">
        <v>3</v>
      </c>
      <c r="D3" s="32" t="s">
        <v>33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1:18" x14ac:dyDescent="0.25">
      <c r="A4" s="5">
        <v>37.734314765343328</v>
      </c>
      <c r="B4" s="2">
        <v>3</v>
      </c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/>
    </row>
    <row r="5" spans="1:18" x14ac:dyDescent="0.25">
      <c r="A5" s="5">
        <v>48.954328016663531</v>
      </c>
      <c r="B5" s="2">
        <v>4</v>
      </c>
      <c r="D5" s="35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7"/>
    </row>
    <row r="6" spans="1:18" x14ac:dyDescent="0.25">
      <c r="A6" s="5">
        <v>42.175914134335777</v>
      </c>
      <c r="B6" s="2">
        <v>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7"/>
    </row>
    <row r="7" spans="1:18" x14ac:dyDescent="0.25">
      <c r="A7" s="5">
        <v>44.054541543679804</v>
      </c>
      <c r="B7" s="2">
        <v>3</v>
      </c>
      <c r="D7" s="35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</row>
    <row r="8" spans="1:18" x14ac:dyDescent="0.25">
      <c r="A8" s="5">
        <v>48.633313281584087</v>
      </c>
      <c r="B8" s="2">
        <v>4</v>
      </c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40"/>
    </row>
    <row r="9" spans="1:18" x14ac:dyDescent="0.25">
      <c r="A9" s="5">
        <v>46.469210530203</v>
      </c>
      <c r="B9" s="2">
        <v>2</v>
      </c>
    </row>
    <row r="10" spans="1:18" x14ac:dyDescent="0.25">
      <c r="A10" s="5">
        <v>47.904616152913832</v>
      </c>
      <c r="B10" s="2">
        <v>4</v>
      </c>
    </row>
    <row r="11" spans="1:18" x14ac:dyDescent="0.25">
      <c r="A11" s="5">
        <v>38.680651489702797</v>
      </c>
      <c r="B11" s="2">
        <v>3</v>
      </c>
    </row>
    <row r="12" spans="1:18" x14ac:dyDescent="0.25">
      <c r="A12" s="5">
        <v>45.950752545369312</v>
      </c>
      <c r="B12" s="2">
        <v>1</v>
      </c>
    </row>
    <row r="13" spans="1:18" x14ac:dyDescent="0.25">
      <c r="A13" s="5">
        <v>40.064490753632256</v>
      </c>
      <c r="B13" s="2">
        <v>2</v>
      </c>
    </row>
    <row r="14" spans="1:18" x14ac:dyDescent="0.25">
      <c r="A14" s="5">
        <v>45.374397103849105</v>
      </c>
      <c r="B14" s="2">
        <v>4</v>
      </c>
    </row>
    <row r="15" spans="1:18" x14ac:dyDescent="0.25">
      <c r="A15" s="5">
        <v>46.77035252788275</v>
      </c>
      <c r="B15" s="2">
        <v>4</v>
      </c>
    </row>
    <row r="16" spans="1:18" x14ac:dyDescent="0.25">
      <c r="A16" s="5">
        <v>43.68003553425774</v>
      </c>
      <c r="B16" s="2">
        <v>1</v>
      </c>
    </row>
    <row r="17" spans="1:2" x14ac:dyDescent="0.25">
      <c r="A17" s="5">
        <v>42.277839502906552</v>
      </c>
      <c r="B17" s="2">
        <v>2</v>
      </c>
    </row>
    <row r="18" spans="1:2" x14ac:dyDescent="0.25">
      <c r="A18" s="5">
        <v>39.013690953734915</v>
      </c>
      <c r="B18" s="2">
        <v>3</v>
      </c>
    </row>
    <row r="19" spans="1:2" x14ac:dyDescent="0.25">
      <c r="A19" s="5">
        <v>41.906611791879364</v>
      </c>
      <c r="B19" s="2">
        <v>4</v>
      </c>
    </row>
    <row r="20" spans="1:2" x14ac:dyDescent="0.25">
      <c r="A20" s="5">
        <v>46.185543128916294</v>
      </c>
      <c r="B20" s="2">
        <v>2</v>
      </c>
    </row>
    <row r="21" spans="1:2" x14ac:dyDescent="0.25">
      <c r="A21" s="5">
        <v>44.310984620414025</v>
      </c>
      <c r="B21" s="2">
        <v>2</v>
      </c>
    </row>
    <row r="22" spans="1:2" x14ac:dyDescent="0.25">
      <c r="A22" s="5">
        <v>37.548149743393402</v>
      </c>
      <c r="B22" s="2">
        <v>1</v>
      </c>
    </row>
    <row r="23" spans="1:2" x14ac:dyDescent="0.25">
      <c r="A23" s="5">
        <v>48.188230863509432</v>
      </c>
      <c r="B23" s="2">
        <v>3</v>
      </c>
    </row>
    <row r="24" spans="1:2" x14ac:dyDescent="0.25">
      <c r="A24" s="5">
        <v>40.897120258406765</v>
      </c>
      <c r="B24" s="2">
        <v>1</v>
      </c>
    </row>
    <row r="25" spans="1:2" x14ac:dyDescent="0.25">
      <c r="A25" s="5">
        <v>39.281136454793241</v>
      </c>
      <c r="B25" s="2">
        <v>1</v>
      </c>
    </row>
    <row r="26" spans="1:2" x14ac:dyDescent="0.25">
      <c r="A26" s="5">
        <v>46.907224843992182</v>
      </c>
      <c r="B26" s="2">
        <v>4</v>
      </c>
    </row>
    <row r="27" spans="1:2" x14ac:dyDescent="0.25">
      <c r="A27" s="5">
        <v>37.053401825432033</v>
      </c>
      <c r="B27" s="2">
        <v>4</v>
      </c>
    </row>
    <row r="28" spans="1:2" x14ac:dyDescent="0.25">
      <c r="A28" s="5">
        <v>50.759767807981675</v>
      </c>
      <c r="B28" s="2">
        <v>4</v>
      </c>
    </row>
    <row r="29" spans="1:2" x14ac:dyDescent="0.25">
      <c r="A29" s="5">
        <v>44.192973567047744</v>
      </c>
      <c r="B29" s="2">
        <v>4</v>
      </c>
    </row>
    <row r="30" spans="1:2" x14ac:dyDescent="0.25">
      <c r="A30" s="5">
        <v>39.084447921424463</v>
      </c>
      <c r="B30" s="2">
        <v>3</v>
      </c>
    </row>
    <row r="31" spans="1:2" x14ac:dyDescent="0.25">
      <c r="A31" s="5">
        <v>43.814454599433162</v>
      </c>
      <c r="B31" s="2">
        <v>4</v>
      </c>
    </row>
    <row r="32" spans="1:2" x14ac:dyDescent="0.25">
      <c r="A32" s="5">
        <v>49.425777275669049</v>
      </c>
      <c r="B32" s="2">
        <v>1</v>
      </c>
    </row>
    <row r="33" spans="1:2" x14ac:dyDescent="0.25">
      <c r="A33" s="5">
        <v>47.680253767585505</v>
      </c>
      <c r="B33" s="2">
        <v>1</v>
      </c>
    </row>
    <row r="34" spans="1:2" x14ac:dyDescent="0.25">
      <c r="A34" s="5">
        <v>40.913898362926616</v>
      </c>
      <c r="B34" s="2">
        <v>1</v>
      </c>
    </row>
    <row r="35" spans="1:2" x14ac:dyDescent="0.25">
      <c r="A35" s="5">
        <v>50.936759679994623</v>
      </c>
      <c r="B35" s="2">
        <v>1</v>
      </c>
    </row>
    <row r="36" spans="1:2" x14ac:dyDescent="0.25">
      <c r="A36" s="5">
        <v>38.709368467843248</v>
      </c>
      <c r="B36" s="2">
        <v>1</v>
      </c>
    </row>
    <row r="37" spans="1:2" x14ac:dyDescent="0.25">
      <c r="A37" s="5">
        <v>38.001734275765038</v>
      </c>
      <c r="B37" s="2">
        <v>1</v>
      </c>
    </row>
    <row r="38" spans="1:2" x14ac:dyDescent="0.25">
      <c r="A38" s="5">
        <v>41.208664543822955</v>
      </c>
      <c r="B38" s="2">
        <v>4</v>
      </c>
    </row>
    <row r="39" spans="1:2" x14ac:dyDescent="0.25">
      <c r="A39" s="5">
        <v>40.007779676143173</v>
      </c>
      <c r="B39" s="2">
        <v>1</v>
      </c>
    </row>
    <row r="40" spans="1:2" x14ac:dyDescent="0.25">
      <c r="A40" s="5">
        <v>51.392788858413752</v>
      </c>
      <c r="B40" s="2">
        <v>2</v>
      </c>
    </row>
    <row r="41" spans="1:2" x14ac:dyDescent="0.25">
      <c r="A41" s="5">
        <v>46.948868820675877</v>
      </c>
      <c r="B41" s="2">
        <v>1</v>
      </c>
    </row>
    <row r="42" spans="1:2" x14ac:dyDescent="0.25">
      <c r="A42" s="5">
        <v>45.074112967662096</v>
      </c>
      <c r="B42" s="2">
        <v>1</v>
      </c>
    </row>
    <row r="43" spans="1:2" x14ac:dyDescent="0.25">
      <c r="A43" s="5">
        <v>47.706766085820092</v>
      </c>
      <c r="B43" s="2">
        <v>4</v>
      </c>
    </row>
    <row r="44" spans="1:2" x14ac:dyDescent="0.25">
      <c r="A44" s="5">
        <v>51.622310860567595</v>
      </c>
      <c r="B44" s="2">
        <v>2</v>
      </c>
    </row>
    <row r="45" spans="1:2" x14ac:dyDescent="0.25">
      <c r="A45" s="5">
        <v>45.06099098559676</v>
      </c>
      <c r="B45" s="2">
        <v>4</v>
      </c>
    </row>
    <row r="46" spans="1:2" x14ac:dyDescent="0.25">
      <c r="A46" s="5">
        <v>45.814009367567493</v>
      </c>
      <c r="B46" s="2">
        <v>2</v>
      </c>
    </row>
    <row r="47" spans="1:2" x14ac:dyDescent="0.25">
      <c r="A47" s="5">
        <v>45.998038124263232</v>
      </c>
      <c r="B47" s="2">
        <v>1</v>
      </c>
    </row>
    <row r="48" spans="1:2" x14ac:dyDescent="0.25">
      <c r="A48" s="5">
        <v>43.425744921008565</v>
      </c>
      <c r="B48" s="2">
        <v>1</v>
      </c>
    </row>
    <row r="49" spans="1:2" x14ac:dyDescent="0.25">
      <c r="A49" s="5">
        <v>45.898692843185799</v>
      </c>
      <c r="B49" s="2">
        <v>2</v>
      </c>
    </row>
    <row r="50" spans="1:2" x14ac:dyDescent="0.25">
      <c r="A50" s="5">
        <v>45.254443871030283</v>
      </c>
      <c r="B50" s="2">
        <v>1</v>
      </c>
    </row>
    <row r="51" spans="1:2" x14ac:dyDescent="0.25">
      <c r="A51" s="5">
        <v>47.277039620318604</v>
      </c>
      <c r="B51" s="2">
        <v>4</v>
      </c>
    </row>
    <row r="52" spans="1:2" x14ac:dyDescent="0.25">
      <c r="A52" s="5">
        <v>49.672699992539357</v>
      </c>
      <c r="B52" s="2">
        <v>2</v>
      </c>
    </row>
    <row r="53" spans="1:2" x14ac:dyDescent="0.25">
      <c r="A53" s="5">
        <v>42.704712151439715</v>
      </c>
      <c r="B53" s="2">
        <v>3</v>
      </c>
    </row>
    <row r="54" spans="1:2" x14ac:dyDescent="0.25">
      <c r="A54" s="5">
        <v>44.738958901729568</v>
      </c>
      <c r="B54" s="2">
        <v>2</v>
      </c>
    </row>
    <row r="55" spans="1:2" x14ac:dyDescent="0.25">
      <c r="A55" s="5">
        <v>42.109654831363514</v>
      </c>
      <c r="B55" s="2">
        <v>1</v>
      </c>
    </row>
    <row r="56" spans="1:2" x14ac:dyDescent="0.25">
      <c r="A56" s="5">
        <v>45.039150496699484</v>
      </c>
      <c r="B56" s="2">
        <v>2</v>
      </c>
    </row>
    <row r="57" spans="1:2" x14ac:dyDescent="0.25">
      <c r="A57" s="5">
        <v>48.298594683578472</v>
      </c>
      <c r="B57" s="2">
        <v>2</v>
      </c>
    </row>
    <row r="58" spans="1:2" x14ac:dyDescent="0.25">
      <c r="A58" s="5">
        <v>48.41022895795151</v>
      </c>
      <c r="B58" s="2">
        <v>2</v>
      </c>
    </row>
    <row r="59" spans="1:2" x14ac:dyDescent="0.25">
      <c r="A59" s="5">
        <v>53.095967480002827</v>
      </c>
      <c r="B59" s="2">
        <v>4</v>
      </c>
    </row>
    <row r="60" spans="1:2" x14ac:dyDescent="0.25">
      <c r="A60" s="5">
        <v>45.975233492116239</v>
      </c>
      <c r="B60" s="2">
        <v>4</v>
      </c>
    </row>
    <row r="61" spans="1:2" x14ac:dyDescent="0.25">
      <c r="A61" s="5">
        <v>39.271092867327845</v>
      </c>
      <c r="B61" s="2">
        <v>4</v>
      </c>
    </row>
    <row r="62" spans="1:2" x14ac:dyDescent="0.25">
      <c r="A62" s="5">
        <v>48.881721547267844</v>
      </c>
      <c r="B62" s="2">
        <v>1</v>
      </c>
    </row>
    <row r="63" spans="1:2" x14ac:dyDescent="0.25">
      <c r="A63" s="5">
        <v>48.027314719316017</v>
      </c>
      <c r="B63" s="2">
        <v>4</v>
      </c>
    </row>
    <row r="64" spans="1:2" x14ac:dyDescent="0.25">
      <c r="A64" s="5">
        <v>36.793395417794002</v>
      </c>
      <c r="B64" s="2">
        <v>1</v>
      </c>
    </row>
    <row r="65" spans="1:2" x14ac:dyDescent="0.25">
      <c r="A65" s="5">
        <v>44.929975169961295</v>
      </c>
      <c r="B65" s="2">
        <v>3</v>
      </c>
    </row>
    <row r="66" spans="1:2" x14ac:dyDescent="0.25">
      <c r="A66" s="5">
        <v>43.313987266244062</v>
      </c>
      <c r="B66" s="2">
        <v>2</v>
      </c>
    </row>
    <row r="67" spans="1:2" x14ac:dyDescent="0.25">
      <c r="A67" s="5">
        <v>44.26677595795784</v>
      </c>
      <c r="B67" s="2">
        <v>4</v>
      </c>
    </row>
    <row r="68" spans="1:2" x14ac:dyDescent="0.25">
      <c r="A68" s="5">
        <v>45.179808178377286</v>
      </c>
      <c r="B68" s="2">
        <v>1</v>
      </c>
    </row>
    <row r="69" spans="1:2" x14ac:dyDescent="0.25">
      <c r="A69" s="5">
        <v>52.435842476626071</v>
      </c>
      <c r="B69" s="2">
        <v>2</v>
      </c>
    </row>
    <row r="70" spans="1:2" x14ac:dyDescent="0.25">
      <c r="A70" s="5">
        <v>40.881383917611672</v>
      </c>
      <c r="B70" s="2">
        <v>4</v>
      </c>
    </row>
    <row r="71" spans="1:2" x14ac:dyDescent="0.25">
      <c r="A71" s="5">
        <v>52.490897346829087</v>
      </c>
      <c r="B71" s="2">
        <v>2</v>
      </c>
    </row>
    <row r="72" spans="1:2" x14ac:dyDescent="0.25">
      <c r="A72" s="5">
        <v>43.990669781348117</v>
      </c>
      <c r="B72" s="2">
        <v>1</v>
      </c>
    </row>
    <row r="73" spans="1:2" x14ac:dyDescent="0.25">
      <c r="A73" s="5">
        <v>43.419950256776239</v>
      </c>
      <c r="B73" s="2">
        <v>1</v>
      </c>
    </row>
    <row r="74" spans="1:2" x14ac:dyDescent="0.25">
      <c r="A74" s="5">
        <v>48.780998615165828</v>
      </c>
      <c r="B74" s="2">
        <v>1</v>
      </c>
    </row>
    <row r="75" spans="1:2" x14ac:dyDescent="0.25">
      <c r="A75" s="5">
        <v>45.053157114668082</v>
      </c>
      <c r="B75" s="2">
        <v>4</v>
      </c>
    </row>
    <row r="76" spans="1:2" x14ac:dyDescent="0.25">
      <c r="A76" s="5">
        <v>50.699960044961003</v>
      </c>
      <c r="B76" s="2">
        <v>4</v>
      </c>
    </row>
    <row r="77" spans="1:2" x14ac:dyDescent="0.25">
      <c r="A77" s="5">
        <v>40.324119952849436</v>
      </c>
      <c r="B77" s="2">
        <v>1</v>
      </c>
    </row>
    <row r="78" spans="1:2" x14ac:dyDescent="0.25">
      <c r="A78" s="5">
        <v>40.630406767593421</v>
      </c>
      <c r="B78" s="2">
        <v>3</v>
      </c>
    </row>
    <row r="79" spans="1:2" x14ac:dyDescent="0.25">
      <c r="A79" s="5">
        <v>49.453048334275486</v>
      </c>
      <c r="B79" s="2">
        <v>2</v>
      </c>
    </row>
    <row r="80" spans="1:2" x14ac:dyDescent="0.25">
      <c r="A80" s="5">
        <v>45.856445709363115</v>
      </c>
      <c r="B80" s="2">
        <v>4</v>
      </c>
    </row>
    <row r="81" spans="1:2" x14ac:dyDescent="0.25">
      <c r="A81" s="5">
        <v>51.211576532417695</v>
      </c>
      <c r="B81" s="2">
        <v>3</v>
      </c>
    </row>
    <row r="82" spans="1:2" x14ac:dyDescent="0.25">
      <c r="A82" s="5">
        <v>51.541323305405868</v>
      </c>
      <c r="B82" s="2">
        <v>4</v>
      </c>
    </row>
    <row r="83" spans="1:2" x14ac:dyDescent="0.25">
      <c r="A83" s="5">
        <v>51.475040729077875</v>
      </c>
      <c r="B83" s="2">
        <v>3</v>
      </c>
    </row>
    <row r="84" spans="1:2" x14ac:dyDescent="0.25">
      <c r="A84" s="5">
        <v>51.465080354010098</v>
      </c>
      <c r="B84" s="2">
        <v>4</v>
      </c>
    </row>
    <row r="85" spans="1:2" x14ac:dyDescent="0.25">
      <c r="A85" s="5">
        <v>48.500314559815138</v>
      </c>
      <c r="B85" s="2">
        <v>4</v>
      </c>
    </row>
    <row r="86" spans="1:2" x14ac:dyDescent="0.25">
      <c r="A86" s="5">
        <v>47.000076528572365</v>
      </c>
      <c r="B86" s="2">
        <v>4</v>
      </c>
    </row>
    <row r="87" spans="1:2" x14ac:dyDescent="0.25">
      <c r="A87" s="5">
        <v>43.123545317038847</v>
      </c>
      <c r="B87" s="2">
        <v>2</v>
      </c>
    </row>
    <row r="88" spans="1:2" x14ac:dyDescent="0.25">
      <c r="A88" s="5">
        <v>45.72047631600168</v>
      </c>
      <c r="B88" s="2">
        <v>3</v>
      </c>
    </row>
    <row r="89" spans="1:2" x14ac:dyDescent="0.25">
      <c r="A89" s="5">
        <v>50.558870265000145</v>
      </c>
      <c r="B89" s="2">
        <v>4</v>
      </c>
    </row>
    <row r="90" spans="1:2" x14ac:dyDescent="0.25">
      <c r="A90" s="5">
        <v>37.144582718582939</v>
      </c>
      <c r="B90" s="2">
        <v>3</v>
      </c>
    </row>
    <row r="91" spans="1:2" x14ac:dyDescent="0.25">
      <c r="A91" s="5">
        <v>40.72370373040706</v>
      </c>
      <c r="B91" s="2">
        <v>4</v>
      </c>
    </row>
    <row r="92" spans="1:2" x14ac:dyDescent="0.25">
      <c r="A92" s="5">
        <v>46.914904787651857</v>
      </c>
      <c r="B92" s="2">
        <v>2</v>
      </c>
    </row>
    <row r="93" spans="1:2" x14ac:dyDescent="0.25">
      <c r="A93" s="5">
        <v>49.362383878039836</v>
      </c>
      <c r="B93" s="2">
        <v>4</v>
      </c>
    </row>
    <row r="94" spans="1:2" x14ac:dyDescent="0.25">
      <c r="A94" s="5">
        <v>44.921298848223714</v>
      </c>
      <c r="B94" s="2">
        <v>4</v>
      </c>
    </row>
    <row r="95" spans="1:2" x14ac:dyDescent="0.25">
      <c r="A95" s="5">
        <v>39.980835124416892</v>
      </c>
      <c r="B95" s="2">
        <v>4</v>
      </c>
    </row>
    <row r="96" spans="1:2" x14ac:dyDescent="0.25">
      <c r="A96" s="5">
        <v>42.06150237035294</v>
      </c>
      <c r="B96" s="2">
        <v>1</v>
      </c>
    </row>
    <row r="97" spans="1:2" x14ac:dyDescent="0.25">
      <c r="A97" s="5">
        <v>45.091496694573806</v>
      </c>
      <c r="B97" s="2">
        <v>3</v>
      </c>
    </row>
    <row r="98" spans="1:2" x14ac:dyDescent="0.25">
      <c r="A98" s="5">
        <v>43.399300340386709</v>
      </c>
      <c r="B98" s="2">
        <v>4</v>
      </c>
    </row>
    <row r="99" spans="1:2" x14ac:dyDescent="0.25">
      <c r="A99" s="5">
        <v>38.279550312735118</v>
      </c>
      <c r="B99" s="2">
        <v>2</v>
      </c>
    </row>
    <row r="100" spans="1:2" x14ac:dyDescent="0.25">
      <c r="A100" s="5">
        <v>47.405741415669169</v>
      </c>
      <c r="B100" s="2">
        <v>3</v>
      </c>
    </row>
    <row r="101" spans="1:2" x14ac:dyDescent="0.25">
      <c r="A101" s="5">
        <v>38.818591064230546</v>
      </c>
      <c r="B101" s="2">
        <v>1</v>
      </c>
    </row>
    <row r="102" spans="1:2" x14ac:dyDescent="0.25">
      <c r="A102" s="5">
        <v>45.078257453994844</v>
      </c>
      <c r="B102" s="2">
        <v>4</v>
      </c>
    </row>
    <row r="103" spans="1:2" x14ac:dyDescent="0.25">
      <c r="A103" s="5">
        <v>47.577164481144528</v>
      </c>
      <c r="B103" s="2">
        <v>3</v>
      </c>
    </row>
    <row r="104" spans="1:2" x14ac:dyDescent="0.25">
      <c r="A104" s="5">
        <v>43.920609143032607</v>
      </c>
      <c r="B104" s="2">
        <v>4</v>
      </c>
    </row>
    <row r="105" spans="1:2" x14ac:dyDescent="0.25">
      <c r="A105" s="5">
        <v>44.911082044964942</v>
      </c>
      <c r="B105" s="2">
        <v>1</v>
      </c>
    </row>
    <row r="106" spans="1:2" x14ac:dyDescent="0.25">
      <c r="A106" s="5">
        <v>38.489381127568905</v>
      </c>
      <c r="B106" s="2">
        <v>2</v>
      </c>
    </row>
    <row r="107" spans="1:2" x14ac:dyDescent="0.25">
      <c r="A107" s="5">
        <v>40.74332017534558</v>
      </c>
      <c r="B107" s="2">
        <v>1</v>
      </c>
    </row>
    <row r="108" spans="1:2" x14ac:dyDescent="0.25">
      <c r="A108" s="5">
        <v>43.604860712944237</v>
      </c>
      <c r="B108" s="2">
        <v>4</v>
      </c>
    </row>
    <row r="109" spans="1:2" x14ac:dyDescent="0.25">
      <c r="A109" s="5">
        <v>46.499119708748879</v>
      </c>
      <c r="B109" s="2">
        <v>1</v>
      </c>
    </row>
    <row r="110" spans="1:2" x14ac:dyDescent="0.25">
      <c r="A110" s="5">
        <v>42.229984802295178</v>
      </c>
      <c r="B110" s="2">
        <v>3</v>
      </c>
    </row>
    <row r="111" spans="1:2" x14ac:dyDescent="0.25">
      <c r="A111" s="5">
        <v>46.867135823866299</v>
      </c>
      <c r="B111" s="2">
        <v>1</v>
      </c>
    </row>
    <row r="112" spans="1:2" x14ac:dyDescent="0.25">
      <c r="A112" s="5">
        <v>48.182708397419226</v>
      </c>
      <c r="B112" s="2">
        <v>3</v>
      </c>
    </row>
    <row r="113" spans="1:2" x14ac:dyDescent="0.25">
      <c r="A113" s="5">
        <v>49.724037143325532</v>
      </c>
      <c r="B113" s="2">
        <v>1</v>
      </c>
    </row>
    <row r="114" spans="1:2" x14ac:dyDescent="0.25">
      <c r="A114" s="5">
        <v>39.838226657712838</v>
      </c>
      <c r="B114" s="2">
        <v>4</v>
      </c>
    </row>
    <row r="115" spans="1:2" x14ac:dyDescent="0.25">
      <c r="A115" s="5">
        <v>43.179826710339249</v>
      </c>
      <c r="B115" s="2">
        <v>4</v>
      </c>
    </row>
    <row r="116" spans="1:2" x14ac:dyDescent="0.25">
      <c r="A116" s="5">
        <v>42.060671517738243</v>
      </c>
      <c r="B116" s="2">
        <v>3</v>
      </c>
    </row>
    <row r="117" spans="1:2" x14ac:dyDescent="0.25">
      <c r="A117" s="5">
        <v>41.996357169806629</v>
      </c>
      <c r="B117" s="2">
        <v>2</v>
      </c>
    </row>
    <row r="118" spans="1:2" x14ac:dyDescent="0.25">
      <c r="A118" s="5">
        <v>42.9138405429456</v>
      </c>
      <c r="B118" s="2">
        <v>1</v>
      </c>
    </row>
    <row r="119" spans="1:2" x14ac:dyDescent="0.25">
      <c r="A119" s="5">
        <v>44.399218869946985</v>
      </c>
      <c r="B119" s="2">
        <v>2</v>
      </c>
    </row>
    <row r="120" spans="1:2" x14ac:dyDescent="0.25">
      <c r="A120" s="5">
        <v>44.250433285414701</v>
      </c>
      <c r="B120" s="2">
        <v>4</v>
      </c>
    </row>
    <row r="121" spans="1:2" x14ac:dyDescent="0.25">
      <c r="A121" s="5">
        <v>42.4977118435352</v>
      </c>
      <c r="B121" s="2">
        <v>1</v>
      </c>
    </row>
    <row r="122" spans="1:2" x14ac:dyDescent="0.25">
      <c r="A122" s="5">
        <v>43.345624528455673</v>
      </c>
      <c r="B122" s="2">
        <v>3</v>
      </c>
    </row>
    <row r="123" spans="1:2" x14ac:dyDescent="0.25">
      <c r="A123" s="5">
        <v>42.524955275012388</v>
      </c>
      <c r="B123" s="2">
        <v>2</v>
      </c>
    </row>
    <row r="124" spans="1:2" x14ac:dyDescent="0.25">
      <c r="A124" s="5">
        <v>42.16277795977193</v>
      </c>
      <c r="B124" s="2">
        <v>1</v>
      </c>
    </row>
    <row r="125" spans="1:2" x14ac:dyDescent="0.25">
      <c r="A125" s="5">
        <v>46.493834513662264</v>
      </c>
      <c r="B125" s="2">
        <v>1</v>
      </c>
    </row>
    <row r="126" spans="1:2" x14ac:dyDescent="0.25">
      <c r="A126" s="5">
        <v>44.621403532110406</v>
      </c>
      <c r="B126" s="2">
        <v>2</v>
      </c>
    </row>
    <row r="127" spans="1:2" x14ac:dyDescent="0.25">
      <c r="A127" s="5">
        <v>38.624434938296758</v>
      </c>
      <c r="B127" s="2">
        <v>1</v>
      </c>
    </row>
    <row r="128" spans="1:2" x14ac:dyDescent="0.25">
      <c r="A128" s="5">
        <v>41.760501839298399</v>
      </c>
      <c r="B128" s="2">
        <v>1</v>
      </c>
    </row>
    <row r="129" spans="1:2" x14ac:dyDescent="0.25">
      <c r="A129" s="5">
        <v>43.04239390750795</v>
      </c>
      <c r="B129" s="2">
        <v>3</v>
      </c>
    </row>
    <row r="130" spans="1:2" x14ac:dyDescent="0.25">
      <c r="A130" s="5">
        <v>49.910920796413784</v>
      </c>
      <c r="B130" s="2">
        <v>2</v>
      </c>
    </row>
    <row r="131" spans="1:2" x14ac:dyDescent="0.25">
      <c r="A131" s="5">
        <v>50.105883182483439</v>
      </c>
      <c r="B131" s="2">
        <v>1</v>
      </c>
    </row>
    <row r="132" spans="1:2" x14ac:dyDescent="0.25">
      <c r="A132" s="5">
        <v>47.262159436700159</v>
      </c>
      <c r="B132" s="2">
        <v>4</v>
      </c>
    </row>
    <row r="133" spans="1:2" x14ac:dyDescent="0.25">
      <c r="A133" s="5">
        <v>48.250578320718148</v>
      </c>
      <c r="B133" s="2">
        <v>4</v>
      </c>
    </row>
    <row r="134" spans="1:2" x14ac:dyDescent="0.25">
      <c r="A134" s="5">
        <v>48.52980749891492</v>
      </c>
      <c r="B134" s="2">
        <v>1</v>
      </c>
    </row>
    <row r="135" spans="1:2" x14ac:dyDescent="0.25">
      <c r="A135" s="5">
        <v>36.00040245082284</v>
      </c>
      <c r="B135" s="2">
        <v>3</v>
      </c>
    </row>
    <row r="136" spans="1:2" x14ac:dyDescent="0.25">
      <c r="A136" s="5">
        <v>42.089389622157555</v>
      </c>
      <c r="B136" s="2">
        <v>1</v>
      </c>
    </row>
    <row r="137" spans="1:2" x14ac:dyDescent="0.25">
      <c r="A137" s="5">
        <v>38.43768218163531</v>
      </c>
      <c r="B137" s="2">
        <v>3</v>
      </c>
    </row>
    <row r="138" spans="1:2" x14ac:dyDescent="0.25">
      <c r="A138" s="5">
        <v>41.647458250533312</v>
      </c>
      <c r="B138" s="2">
        <v>3</v>
      </c>
    </row>
    <row r="139" spans="1:2" x14ac:dyDescent="0.25">
      <c r="A139" s="5">
        <v>44.4831447606173</v>
      </c>
      <c r="B139" s="2">
        <v>1</v>
      </c>
    </row>
    <row r="140" spans="1:2" x14ac:dyDescent="0.25">
      <c r="A140" s="5">
        <v>41.418689711098402</v>
      </c>
      <c r="B140" s="2">
        <v>4</v>
      </c>
    </row>
    <row r="141" spans="1:2" x14ac:dyDescent="0.25">
      <c r="A141" s="5">
        <v>46.875948227397785</v>
      </c>
      <c r="B141" s="2">
        <v>4</v>
      </c>
    </row>
    <row r="142" spans="1:2" x14ac:dyDescent="0.25">
      <c r="A142" s="5">
        <v>42.051684481191735</v>
      </c>
      <c r="B142" s="2">
        <v>3</v>
      </c>
    </row>
    <row r="143" spans="1:2" x14ac:dyDescent="0.25">
      <c r="A143" s="5">
        <v>44.766224149240252</v>
      </c>
      <c r="B143" s="2">
        <v>3</v>
      </c>
    </row>
    <row r="144" spans="1:2" x14ac:dyDescent="0.25">
      <c r="A144" s="5">
        <v>44.203998435772014</v>
      </c>
      <c r="B144" s="2">
        <v>1</v>
      </c>
    </row>
    <row r="145" spans="1:2" x14ac:dyDescent="0.25">
      <c r="A145" s="5">
        <v>46.497909544171868</v>
      </c>
      <c r="B145" s="2">
        <v>3</v>
      </c>
    </row>
    <row r="146" spans="1:2" x14ac:dyDescent="0.25">
      <c r="A146" s="5">
        <v>42.680728469282172</v>
      </c>
      <c r="B146" s="2">
        <v>2</v>
      </c>
    </row>
    <row r="147" spans="1:2" x14ac:dyDescent="0.25">
      <c r="A147" s="5">
        <v>44.35942177075745</v>
      </c>
      <c r="B147" s="2">
        <v>1</v>
      </c>
    </row>
    <row r="148" spans="1:2" x14ac:dyDescent="0.25">
      <c r="A148" s="5">
        <v>41.691378530303332</v>
      </c>
      <c r="B148" s="2">
        <v>2</v>
      </c>
    </row>
    <row r="149" spans="1:2" x14ac:dyDescent="0.25">
      <c r="A149" s="5">
        <v>42.576904706481074</v>
      </c>
      <c r="B149" s="2">
        <v>4</v>
      </c>
    </row>
    <row r="150" spans="1:2" x14ac:dyDescent="0.25">
      <c r="A150" s="5">
        <v>47.625269268229424</v>
      </c>
      <c r="B150" s="2">
        <v>2</v>
      </c>
    </row>
    <row r="151" spans="1:2" x14ac:dyDescent="0.25">
      <c r="A151" s="5">
        <v>41.941139604865882</v>
      </c>
      <c r="B151" s="2">
        <v>3</v>
      </c>
    </row>
    <row r="152" spans="1:2" x14ac:dyDescent="0.25">
      <c r="A152" s="5">
        <v>43.486966137381174</v>
      </c>
      <c r="B152" s="2">
        <v>3</v>
      </c>
    </row>
    <row r="153" spans="1:2" x14ac:dyDescent="0.25">
      <c r="A153" s="5">
        <v>49.563552182453584</v>
      </c>
      <c r="B153" s="2">
        <v>4</v>
      </c>
    </row>
    <row r="154" spans="1:2" x14ac:dyDescent="0.25">
      <c r="A154" s="5">
        <v>46.677581278950363</v>
      </c>
      <c r="B154" s="2">
        <v>1</v>
      </c>
    </row>
    <row r="155" spans="1:2" x14ac:dyDescent="0.25">
      <c r="A155" s="5">
        <v>46.784427602764104</v>
      </c>
      <c r="B155" s="2">
        <v>2</v>
      </c>
    </row>
    <row r="156" spans="1:2" x14ac:dyDescent="0.25">
      <c r="A156" s="5">
        <v>49.461985581228362</v>
      </c>
      <c r="B156" s="2">
        <v>3</v>
      </c>
    </row>
    <row r="157" spans="1:2" x14ac:dyDescent="0.25">
      <c r="A157" s="5">
        <v>45.141294581214247</v>
      </c>
      <c r="B157" s="2">
        <v>2</v>
      </c>
    </row>
    <row r="158" spans="1:2" x14ac:dyDescent="0.25">
      <c r="A158" s="5">
        <v>42.261479044406819</v>
      </c>
      <c r="B158" s="2">
        <v>2</v>
      </c>
    </row>
    <row r="159" spans="1:2" x14ac:dyDescent="0.25">
      <c r="A159" s="5">
        <v>44.461143497762478</v>
      </c>
      <c r="B159" s="2">
        <v>1</v>
      </c>
    </row>
    <row r="160" spans="1:2" x14ac:dyDescent="0.25">
      <c r="A160" s="5">
        <v>45.015703792393396</v>
      </c>
      <c r="B160" s="2">
        <v>2</v>
      </c>
    </row>
    <row r="161" spans="1:2" x14ac:dyDescent="0.25">
      <c r="A161" s="5">
        <v>47.770291947298006</v>
      </c>
      <c r="B161" s="2">
        <v>1</v>
      </c>
    </row>
    <row r="162" spans="1:2" x14ac:dyDescent="0.25">
      <c r="A162" s="5">
        <v>46.592110675748813</v>
      </c>
      <c r="B162" s="2">
        <v>2</v>
      </c>
    </row>
    <row r="163" spans="1:2" x14ac:dyDescent="0.25">
      <c r="A163" s="5">
        <v>44.896104048630811</v>
      </c>
      <c r="B163" s="2">
        <v>1</v>
      </c>
    </row>
    <row r="164" spans="1:2" x14ac:dyDescent="0.25">
      <c r="A164" s="5">
        <v>39.76720303861849</v>
      </c>
      <c r="B164" s="2">
        <v>3</v>
      </c>
    </row>
    <row r="165" spans="1:2" x14ac:dyDescent="0.25">
      <c r="A165" s="5">
        <v>44.228703274208641</v>
      </c>
      <c r="B165" s="2">
        <v>1</v>
      </c>
    </row>
    <row r="166" spans="1:2" x14ac:dyDescent="0.25">
      <c r="A166" s="5">
        <v>42.914644149899829</v>
      </c>
      <c r="B166" s="2">
        <v>3</v>
      </c>
    </row>
    <row r="167" spans="1:2" x14ac:dyDescent="0.25">
      <c r="A167" s="5">
        <v>50.181466524471972</v>
      </c>
      <c r="B167" s="2">
        <v>2</v>
      </c>
    </row>
    <row r="168" spans="1:2" x14ac:dyDescent="0.25">
      <c r="A168" s="5">
        <v>42.52297321450348</v>
      </c>
      <c r="B168" s="2">
        <v>1</v>
      </c>
    </row>
    <row r="169" spans="1:2" x14ac:dyDescent="0.25">
      <c r="A169" s="5">
        <v>45.678435594434028</v>
      </c>
      <c r="B169" s="2">
        <v>4</v>
      </c>
    </row>
    <row r="170" spans="1:2" x14ac:dyDescent="0.25">
      <c r="A170" s="5">
        <v>51.712059563567308</v>
      </c>
      <c r="B170" s="2">
        <v>4</v>
      </c>
    </row>
    <row r="171" spans="1:2" x14ac:dyDescent="0.25">
      <c r="A171" s="5">
        <v>46.696614804525957</v>
      </c>
      <c r="B171" s="2">
        <v>2</v>
      </c>
    </row>
    <row r="172" spans="1:2" x14ac:dyDescent="0.25">
      <c r="A172" s="5">
        <v>53.062941471738156</v>
      </c>
      <c r="B172" s="2">
        <v>2</v>
      </c>
    </row>
    <row r="173" spans="1:2" x14ac:dyDescent="0.25">
      <c r="A173" s="5">
        <v>39.883497832335543</v>
      </c>
      <c r="B173" s="2">
        <v>2</v>
      </c>
    </row>
    <row r="174" spans="1:2" x14ac:dyDescent="0.25">
      <c r="A174" s="5">
        <v>46.573846445781506</v>
      </c>
      <c r="B174" s="2">
        <v>4</v>
      </c>
    </row>
    <row r="175" spans="1:2" x14ac:dyDescent="0.25">
      <c r="A175" s="5">
        <v>46.21161443825342</v>
      </c>
      <c r="B175" s="2">
        <v>1</v>
      </c>
    </row>
    <row r="176" spans="1:2" x14ac:dyDescent="0.25">
      <c r="A176" s="5">
        <v>42.80145376949055</v>
      </c>
      <c r="B176" s="2">
        <v>4</v>
      </c>
    </row>
    <row r="177" spans="1:2" x14ac:dyDescent="0.25">
      <c r="A177" s="5">
        <v>44.209556621708998</v>
      </c>
      <c r="B177" s="2">
        <v>3</v>
      </c>
    </row>
    <row r="178" spans="1:2" x14ac:dyDescent="0.25">
      <c r="A178" s="5">
        <v>36.880310817916438</v>
      </c>
      <c r="B178" s="2">
        <v>2</v>
      </c>
    </row>
    <row r="179" spans="1:2" x14ac:dyDescent="0.25">
      <c r="A179" s="5">
        <v>46.516199447639963</v>
      </c>
      <c r="B179" s="2">
        <v>2</v>
      </c>
    </row>
    <row r="180" spans="1:2" x14ac:dyDescent="0.25">
      <c r="A180" s="5">
        <v>46.790125417269266</v>
      </c>
      <c r="B180" s="2">
        <v>3</v>
      </c>
    </row>
    <row r="181" spans="1:2" x14ac:dyDescent="0.25">
      <c r="A181" s="5">
        <v>46.538566937588406</v>
      </c>
      <c r="B181" s="2">
        <v>3</v>
      </c>
    </row>
    <row r="182" spans="1:2" x14ac:dyDescent="0.25">
      <c r="A182" s="5">
        <v>47.377719403128346</v>
      </c>
      <c r="B182" s="2">
        <v>2</v>
      </c>
    </row>
    <row r="183" spans="1:2" x14ac:dyDescent="0.25">
      <c r="A183" s="5">
        <v>35.269111568196891</v>
      </c>
      <c r="B183" s="2">
        <v>1</v>
      </c>
    </row>
    <row r="184" spans="1:2" x14ac:dyDescent="0.25">
      <c r="A184" s="5">
        <v>46.027857729732588</v>
      </c>
      <c r="B184" s="2">
        <v>3</v>
      </c>
    </row>
    <row r="185" spans="1:2" x14ac:dyDescent="0.25">
      <c r="A185" s="5">
        <v>50.239848247478996</v>
      </c>
      <c r="B185" s="2">
        <v>1</v>
      </c>
    </row>
    <row r="186" spans="1:2" x14ac:dyDescent="0.25">
      <c r="A186" s="5">
        <v>41.16511069620406</v>
      </c>
      <c r="B186" s="2">
        <v>2</v>
      </c>
    </row>
    <row r="187" spans="1:2" x14ac:dyDescent="0.25">
      <c r="A187" s="5">
        <v>42.24835425380423</v>
      </c>
      <c r="B187" s="2">
        <v>1</v>
      </c>
    </row>
    <row r="188" spans="1:2" x14ac:dyDescent="0.25">
      <c r="A188" s="5">
        <v>50.474189293941919</v>
      </c>
      <c r="B188" s="2">
        <v>4</v>
      </c>
    </row>
    <row r="189" spans="1:2" x14ac:dyDescent="0.25">
      <c r="A189" s="5">
        <v>42.846548517806575</v>
      </c>
      <c r="B189" s="2">
        <v>4</v>
      </c>
    </row>
    <row r="190" spans="1:2" x14ac:dyDescent="0.25">
      <c r="A190" s="5">
        <v>45.657086323394502</v>
      </c>
      <c r="B190" s="2">
        <v>3</v>
      </c>
    </row>
    <row r="191" spans="1:2" x14ac:dyDescent="0.25">
      <c r="A191" s="5">
        <v>46.368754836693</v>
      </c>
      <c r="B191" s="2">
        <v>2</v>
      </c>
    </row>
    <row r="192" spans="1:2" x14ac:dyDescent="0.25">
      <c r="A192" s="5">
        <v>43.006832493391649</v>
      </c>
      <c r="B192" s="2">
        <v>1</v>
      </c>
    </row>
    <row r="193" spans="1:2" x14ac:dyDescent="0.25">
      <c r="A193" s="5">
        <v>49.414124848020514</v>
      </c>
      <c r="B193" s="2">
        <v>3</v>
      </c>
    </row>
    <row r="194" spans="1:2" x14ac:dyDescent="0.25">
      <c r="A194" s="5">
        <v>46.875531260687637</v>
      </c>
      <c r="B194" s="2">
        <v>3</v>
      </c>
    </row>
    <row r="195" spans="1:2" x14ac:dyDescent="0.25">
      <c r="A195" s="5">
        <v>47.989197408772938</v>
      </c>
      <c r="B195" s="2">
        <v>3</v>
      </c>
    </row>
    <row r="196" spans="1:2" x14ac:dyDescent="0.25">
      <c r="A196" s="5">
        <v>39.699334354725508</v>
      </c>
      <c r="B196" s="2">
        <v>4</v>
      </c>
    </row>
    <row r="197" spans="1:2" x14ac:dyDescent="0.25">
      <c r="A197" s="5">
        <v>44.331878117802923</v>
      </c>
      <c r="B197" s="2">
        <v>3</v>
      </c>
    </row>
    <row r="198" spans="1:2" x14ac:dyDescent="0.25">
      <c r="A198" s="5">
        <v>50.718886788037253</v>
      </c>
      <c r="B198" s="2">
        <v>1</v>
      </c>
    </row>
    <row r="199" spans="1:2" x14ac:dyDescent="0.25">
      <c r="A199" s="5">
        <v>42.133133460945203</v>
      </c>
      <c r="B199" s="2">
        <v>1</v>
      </c>
    </row>
    <row r="200" spans="1:2" x14ac:dyDescent="0.25">
      <c r="A200" s="5">
        <v>45.488249298776218</v>
      </c>
      <c r="B200" s="2">
        <v>1</v>
      </c>
    </row>
    <row r="201" spans="1:2" x14ac:dyDescent="0.25">
      <c r="A201" s="5">
        <v>44.230427022211757</v>
      </c>
      <c r="B201" s="2">
        <v>1</v>
      </c>
    </row>
    <row r="202" spans="1:2" x14ac:dyDescent="0.25">
      <c r="A202" s="5">
        <v>45.044282674671059</v>
      </c>
      <c r="B202" s="2">
        <v>1</v>
      </c>
    </row>
    <row r="203" spans="1:2" x14ac:dyDescent="0.25">
      <c r="A203" s="5">
        <v>47.873671023346617</v>
      </c>
      <c r="B203" s="2">
        <v>4</v>
      </c>
    </row>
    <row r="204" spans="1:2" x14ac:dyDescent="0.25">
      <c r="A204" s="5">
        <v>48.864458317440118</v>
      </c>
      <c r="B204" s="2">
        <v>4</v>
      </c>
    </row>
    <row r="205" spans="1:2" x14ac:dyDescent="0.25">
      <c r="A205" s="5">
        <v>44.926014051928064</v>
      </c>
      <c r="B205" s="2">
        <v>4</v>
      </c>
    </row>
    <row r="206" spans="1:2" x14ac:dyDescent="0.25">
      <c r="A206" s="5">
        <v>43.039269687906817</v>
      </c>
      <c r="B206" s="2">
        <v>2</v>
      </c>
    </row>
    <row r="207" spans="1:2" x14ac:dyDescent="0.25">
      <c r="A207" s="5">
        <v>42.505219556211252</v>
      </c>
      <c r="B207" s="2">
        <v>4</v>
      </c>
    </row>
    <row r="208" spans="1:2" x14ac:dyDescent="0.25">
      <c r="A208" s="5">
        <v>46.929627249201303</v>
      </c>
      <c r="B208" s="2">
        <v>4</v>
      </c>
    </row>
    <row r="209" spans="1:2" x14ac:dyDescent="0.25">
      <c r="A209" s="5">
        <v>44.359675923914274</v>
      </c>
      <c r="B209" s="2">
        <v>1</v>
      </c>
    </row>
    <row r="210" spans="1:2" x14ac:dyDescent="0.25">
      <c r="A210" s="5">
        <v>48.528251570733104</v>
      </c>
      <c r="B210" s="2">
        <v>4</v>
      </c>
    </row>
    <row r="211" spans="1:2" x14ac:dyDescent="0.25">
      <c r="A211" s="5">
        <v>43.24515598653003</v>
      </c>
      <c r="B211" s="2">
        <v>3</v>
      </c>
    </row>
    <row r="212" spans="1:2" x14ac:dyDescent="0.25">
      <c r="A212" s="5">
        <v>48.51963488743479</v>
      </c>
      <c r="B212" s="2">
        <v>1</v>
      </c>
    </row>
    <row r="213" spans="1:2" x14ac:dyDescent="0.25">
      <c r="A213" s="5">
        <v>48.563856032012922</v>
      </c>
      <c r="B213" s="2">
        <v>1</v>
      </c>
    </row>
    <row r="214" spans="1:2" x14ac:dyDescent="0.25">
      <c r="A214" s="5">
        <v>46.806466597568814</v>
      </c>
      <c r="B214" s="2">
        <v>2</v>
      </c>
    </row>
    <row r="215" spans="1:2" x14ac:dyDescent="0.25">
      <c r="A215" s="5">
        <v>44.543215284659873</v>
      </c>
      <c r="B215" s="2">
        <v>1</v>
      </c>
    </row>
    <row r="216" spans="1:2" x14ac:dyDescent="0.25">
      <c r="A216" s="5">
        <v>51.815588898891363</v>
      </c>
      <c r="B216" s="2">
        <v>1</v>
      </c>
    </row>
    <row r="217" spans="1:2" x14ac:dyDescent="0.25">
      <c r="A217" s="5">
        <v>38.811823441892798</v>
      </c>
      <c r="B217" s="2">
        <v>2</v>
      </c>
    </row>
    <row r="218" spans="1:2" x14ac:dyDescent="0.25">
      <c r="A218" s="5">
        <v>47.725229069836317</v>
      </c>
      <c r="B218" s="2">
        <v>3</v>
      </c>
    </row>
    <row r="219" spans="1:2" x14ac:dyDescent="0.25">
      <c r="A219" s="5">
        <v>43.835887201513422</v>
      </c>
      <c r="B219" s="2">
        <v>4</v>
      </c>
    </row>
    <row r="220" spans="1:2" x14ac:dyDescent="0.25">
      <c r="A220" s="5">
        <v>45.952260650448551</v>
      </c>
      <c r="B220" s="2">
        <v>4</v>
      </c>
    </row>
    <row r="221" spans="1:2" x14ac:dyDescent="0.25">
      <c r="A221" s="5">
        <v>40.886223215896671</v>
      </c>
      <c r="B221" s="2">
        <v>2</v>
      </c>
    </row>
    <row r="222" spans="1:2" x14ac:dyDescent="0.25">
      <c r="A222" s="5">
        <v>47.247355083640912</v>
      </c>
      <c r="B222" s="2">
        <v>2</v>
      </c>
    </row>
    <row r="223" spans="1:2" x14ac:dyDescent="0.25">
      <c r="A223" s="5">
        <v>37.655894254273015</v>
      </c>
      <c r="B223" s="2">
        <v>1</v>
      </c>
    </row>
    <row r="224" spans="1:2" x14ac:dyDescent="0.25">
      <c r="A224" s="5">
        <v>45.76482095530173</v>
      </c>
      <c r="B224" s="2">
        <v>2</v>
      </c>
    </row>
    <row r="225" spans="1:2" x14ac:dyDescent="0.25">
      <c r="A225" s="5">
        <v>44.704230917480096</v>
      </c>
      <c r="B225" s="2">
        <v>1</v>
      </c>
    </row>
    <row r="226" spans="1:2" x14ac:dyDescent="0.25">
      <c r="A226" s="5">
        <v>45.890951438216547</v>
      </c>
      <c r="B226" s="2">
        <v>2</v>
      </c>
    </row>
    <row r="227" spans="1:2" x14ac:dyDescent="0.25">
      <c r="A227" s="5">
        <v>41.866177646826664</v>
      </c>
      <c r="B227" s="2">
        <v>1</v>
      </c>
    </row>
    <row r="228" spans="1:2" x14ac:dyDescent="0.25">
      <c r="A228" s="5">
        <v>45.283528433012705</v>
      </c>
      <c r="B228" s="2">
        <v>3</v>
      </c>
    </row>
    <row r="229" spans="1:2" x14ac:dyDescent="0.25">
      <c r="A229" s="5">
        <v>43.513649445562891</v>
      </c>
      <c r="B229" s="2">
        <v>2</v>
      </c>
    </row>
    <row r="230" spans="1:2" x14ac:dyDescent="0.25">
      <c r="A230" s="5">
        <v>43.886192875506104</v>
      </c>
      <c r="B230" s="2">
        <v>2</v>
      </c>
    </row>
    <row r="231" spans="1:2" x14ac:dyDescent="0.25">
      <c r="A231" s="5">
        <v>48.516219528287102</v>
      </c>
      <c r="B231" s="2">
        <v>3</v>
      </c>
    </row>
    <row r="232" spans="1:2" x14ac:dyDescent="0.25">
      <c r="A232" s="5">
        <v>48.742509982045753</v>
      </c>
      <c r="B232" s="2">
        <v>3</v>
      </c>
    </row>
    <row r="233" spans="1:2" x14ac:dyDescent="0.25">
      <c r="A233" s="5">
        <v>42.246513235610649</v>
      </c>
      <c r="B233" s="2">
        <v>2</v>
      </c>
    </row>
    <row r="234" spans="1:2" x14ac:dyDescent="0.25">
      <c r="A234" s="5">
        <v>49.500650527796296</v>
      </c>
      <c r="B234" s="2">
        <v>4</v>
      </c>
    </row>
    <row r="235" spans="1:2" x14ac:dyDescent="0.25">
      <c r="A235" s="5">
        <v>47.295221980570368</v>
      </c>
      <c r="B235" s="2">
        <v>1</v>
      </c>
    </row>
    <row r="236" spans="1:2" x14ac:dyDescent="0.25">
      <c r="A236" s="5">
        <v>39.342278746106629</v>
      </c>
      <c r="B236" s="2">
        <v>3</v>
      </c>
    </row>
    <row r="237" spans="1:2" x14ac:dyDescent="0.25">
      <c r="A237" s="5">
        <v>46.88366606377685</v>
      </c>
      <c r="B237" s="2">
        <v>3</v>
      </c>
    </row>
    <row r="238" spans="1:2" x14ac:dyDescent="0.25">
      <c r="A238" s="5">
        <v>43.238880907730149</v>
      </c>
      <c r="B238" s="2">
        <v>1</v>
      </c>
    </row>
    <row r="239" spans="1:2" x14ac:dyDescent="0.25">
      <c r="A239" s="5">
        <v>47.930686199586944</v>
      </c>
      <c r="B239" s="2">
        <v>3</v>
      </c>
    </row>
    <row r="240" spans="1:2" x14ac:dyDescent="0.25">
      <c r="A240" s="5">
        <v>46.842324372296375</v>
      </c>
      <c r="B240" s="2">
        <v>2</v>
      </c>
    </row>
    <row r="241" spans="1:2" x14ac:dyDescent="0.25">
      <c r="A241" s="5">
        <v>45.890678414512948</v>
      </c>
      <c r="B241" s="2">
        <v>3</v>
      </c>
    </row>
    <row r="242" spans="1:2" x14ac:dyDescent="0.25">
      <c r="A242" s="5">
        <v>43.495487201189221</v>
      </c>
      <c r="B242" s="2">
        <v>3</v>
      </c>
    </row>
    <row r="243" spans="1:2" x14ac:dyDescent="0.25">
      <c r="A243" s="5">
        <v>46.493308686362802</v>
      </c>
      <c r="B243" s="2">
        <v>4</v>
      </c>
    </row>
    <row r="244" spans="1:2" x14ac:dyDescent="0.25">
      <c r="A244" s="5">
        <v>49.478232659240319</v>
      </c>
      <c r="B244" s="2">
        <v>1</v>
      </c>
    </row>
    <row r="245" spans="1:2" x14ac:dyDescent="0.25">
      <c r="A245" s="5">
        <v>45.525927928143297</v>
      </c>
      <c r="B245" s="2">
        <v>2</v>
      </c>
    </row>
    <row r="246" spans="1:2" x14ac:dyDescent="0.25">
      <c r="A246" s="5">
        <v>48.434391710392681</v>
      </c>
      <c r="B246" s="2">
        <v>3</v>
      </c>
    </row>
    <row r="247" spans="1:2" x14ac:dyDescent="0.25">
      <c r="A247" s="5">
        <v>53.352329525316904</v>
      </c>
      <c r="B247" s="2">
        <v>2</v>
      </c>
    </row>
    <row r="248" spans="1:2" x14ac:dyDescent="0.25">
      <c r="A248" s="5">
        <v>44.707679670816198</v>
      </c>
      <c r="B248" s="2">
        <v>1</v>
      </c>
    </row>
    <row r="249" spans="1:2" x14ac:dyDescent="0.25">
      <c r="A249" s="5">
        <v>40.488360462497496</v>
      </c>
      <c r="B249" s="2">
        <v>4</v>
      </c>
    </row>
    <row r="250" spans="1:2" x14ac:dyDescent="0.25">
      <c r="A250" s="5">
        <v>39.284798658068688</v>
      </c>
      <c r="B250" s="2">
        <v>1</v>
      </c>
    </row>
    <row r="251" spans="1:2" x14ac:dyDescent="0.25">
      <c r="A251" s="5">
        <v>38.581716773612762</v>
      </c>
      <c r="B251" s="2">
        <v>4</v>
      </c>
    </row>
  </sheetData>
  <mergeCells count="1">
    <mergeCell ref="D3:R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C61A-0AD3-4530-AD78-D14A3507CCA0}">
  <sheetPr filterMode="1"/>
  <dimension ref="A1:D251"/>
  <sheetViews>
    <sheetView showGridLines="0" workbookViewId="0">
      <selection activeCell="G88" sqref="G88"/>
    </sheetView>
  </sheetViews>
  <sheetFormatPr defaultRowHeight="15" x14ac:dyDescent="0.25"/>
  <cols>
    <col min="3" max="3" width="14.140625" customWidth="1"/>
    <col min="4" max="4" width="16.5703125" customWidth="1"/>
  </cols>
  <sheetData>
    <row r="1" spans="1:4" ht="41.25" customHeight="1" thickTop="1" thickBot="1" x14ac:dyDescent="0.3">
      <c r="A1" s="3" t="s">
        <v>5</v>
      </c>
      <c r="B1" s="3" t="s">
        <v>6</v>
      </c>
      <c r="C1" s="3" t="s">
        <v>8</v>
      </c>
      <c r="D1" s="3" t="s">
        <v>9</v>
      </c>
    </row>
    <row r="2" spans="1:4" ht="15.75" thickTop="1" x14ac:dyDescent="0.25">
      <c r="A2" s="6">
        <f>Data!A2</f>
        <v>32.341348446842623</v>
      </c>
      <c r="B2" s="7">
        <f>Data!B2</f>
        <v>3</v>
      </c>
      <c r="C2" s="8">
        <f>IF(B2=$D$2,A2,"")</f>
        <v>32.341348446842623</v>
      </c>
      <c r="D2" s="10">
        <v>3</v>
      </c>
    </row>
    <row r="3" spans="1:4" x14ac:dyDescent="0.25">
      <c r="A3" s="6">
        <f>Data!A3</f>
        <v>40.089538144667351</v>
      </c>
      <c r="B3" s="7">
        <f>Data!B3</f>
        <v>3</v>
      </c>
      <c r="C3" s="9">
        <f t="shared" ref="C3:C66" si="0">IF(B3=$D$2,A3,"")</f>
        <v>40.089538144667351</v>
      </c>
      <c r="D3" s="11"/>
    </row>
    <row r="4" spans="1:4" x14ac:dyDescent="0.25">
      <c r="A4" s="6">
        <f>Data!A4</f>
        <v>37.734314765343328</v>
      </c>
      <c r="B4" s="7">
        <f>Data!B4</f>
        <v>3</v>
      </c>
      <c r="C4" s="9">
        <f t="shared" si="0"/>
        <v>37.734314765343328</v>
      </c>
      <c r="D4" s="12"/>
    </row>
    <row r="5" spans="1:4" hidden="1" x14ac:dyDescent="0.25">
      <c r="A5" s="6">
        <f>Data!A5</f>
        <v>48.954328016663531</v>
      </c>
      <c r="B5" s="7">
        <f>Data!B5</f>
        <v>4</v>
      </c>
      <c r="C5" s="9" t="str">
        <f t="shared" si="0"/>
        <v/>
      </c>
      <c r="D5" s="12"/>
    </row>
    <row r="6" spans="1:4" hidden="1" x14ac:dyDescent="0.25">
      <c r="A6" s="6">
        <f>Data!A6</f>
        <v>42.175914134335777</v>
      </c>
      <c r="B6" s="7">
        <f>Data!B6</f>
        <v>4</v>
      </c>
      <c r="C6" s="9" t="str">
        <f t="shared" si="0"/>
        <v/>
      </c>
      <c r="D6" s="12"/>
    </row>
    <row r="7" spans="1:4" x14ac:dyDescent="0.25">
      <c r="A7" s="6">
        <f>Data!A7</f>
        <v>44.054541543679804</v>
      </c>
      <c r="B7" s="7">
        <f>Data!B7</f>
        <v>3</v>
      </c>
      <c r="C7" s="9">
        <f t="shared" si="0"/>
        <v>44.054541543679804</v>
      </c>
      <c r="D7" s="12"/>
    </row>
    <row r="8" spans="1:4" hidden="1" x14ac:dyDescent="0.25">
      <c r="A8" s="6">
        <f>Data!A8</f>
        <v>48.633313281584087</v>
      </c>
      <c r="B8" s="7">
        <f>Data!B8</f>
        <v>4</v>
      </c>
      <c r="C8" s="9" t="str">
        <f t="shared" si="0"/>
        <v/>
      </c>
      <c r="D8" s="12"/>
    </row>
    <row r="9" spans="1:4" hidden="1" x14ac:dyDescent="0.25">
      <c r="A9" s="6">
        <f>Data!A9</f>
        <v>46.469210530203</v>
      </c>
      <c r="B9" s="7">
        <f>Data!B9</f>
        <v>2</v>
      </c>
      <c r="C9" s="9" t="str">
        <f t="shared" si="0"/>
        <v/>
      </c>
      <c r="D9" s="12"/>
    </row>
    <row r="10" spans="1:4" hidden="1" x14ac:dyDescent="0.25">
      <c r="A10" s="6">
        <f>Data!A10</f>
        <v>47.904616152913832</v>
      </c>
      <c r="B10" s="7">
        <f>Data!B10</f>
        <v>4</v>
      </c>
      <c r="C10" s="9" t="str">
        <f t="shared" si="0"/>
        <v/>
      </c>
      <c r="D10" s="12"/>
    </row>
    <row r="11" spans="1:4" x14ac:dyDescent="0.25">
      <c r="A11" s="6">
        <f>Data!A11</f>
        <v>38.680651489702797</v>
      </c>
      <c r="B11" s="7">
        <f>Data!B11</f>
        <v>3</v>
      </c>
      <c r="C11" s="9">
        <f t="shared" si="0"/>
        <v>38.680651489702797</v>
      </c>
      <c r="D11" s="12"/>
    </row>
    <row r="12" spans="1:4" hidden="1" x14ac:dyDescent="0.25">
      <c r="A12" s="6">
        <f>Data!A12</f>
        <v>45.950752545369312</v>
      </c>
      <c r="B12" s="7">
        <f>Data!B12</f>
        <v>1</v>
      </c>
      <c r="C12" s="9" t="str">
        <f t="shared" si="0"/>
        <v/>
      </c>
      <c r="D12" s="12"/>
    </row>
    <row r="13" spans="1:4" hidden="1" x14ac:dyDescent="0.25">
      <c r="A13" s="6">
        <f>Data!A13</f>
        <v>40.064490753632256</v>
      </c>
      <c r="B13" s="7">
        <f>Data!B13</f>
        <v>2</v>
      </c>
      <c r="C13" s="9" t="str">
        <f t="shared" si="0"/>
        <v/>
      </c>
      <c r="D13" s="12"/>
    </row>
    <row r="14" spans="1:4" hidden="1" x14ac:dyDescent="0.25">
      <c r="A14" s="6">
        <f>Data!A14</f>
        <v>45.374397103849105</v>
      </c>
      <c r="B14" s="7">
        <f>Data!B14</f>
        <v>4</v>
      </c>
      <c r="C14" s="9" t="str">
        <f t="shared" si="0"/>
        <v/>
      </c>
      <c r="D14" s="12"/>
    </row>
    <row r="15" spans="1:4" hidden="1" x14ac:dyDescent="0.25">
      <c r="A15" s="6">
        <f>Data!A15</f>
        <v>46.77035252788275</v>
      </c>
      <c r="B15" s="7">
        <f>Data!B15</f>
        <v>4</v>
      </c>
      <c r="C15" s="9" t="str">
        <f t="shared" si="0"/>
        <v/>
      </c>
      <c r="D15" s="12"/>
    </row>
    <row r="16" spans="1:4" hidden="1" x14ac:dyDescent="0.25">
      <c r="A16" s="6">
        <f>Data!A16</f>
        <v>43.68003553425774</v>
      </c>
      <c r="B16" s="7">
        <f>Data!B16</f>
        <v>1</v>
      </c>
      <c r="C16" s="9" t="str">
        <f t="shared" si="0"/>
        <v/>
      </c>
      <c r="D16" s="12"/>
    </row>
    <row r="17" spans="1:4" hidden="1" x14ac:dyDescent="0.25">
      <c r="A17" s="6">
        <f>Data!A17</f>
        <v>42.277839502906552</v>
      </c>
      <c r="B17" s="7">
        <f>Data!B17</f>
        <v>2</v>
      </c>
      <c r="C17" s="9" t="str">
        <f t="shared" si="0"/>
        <v/>
      </c>
      <c r="D17" s="12"/>
    </row>
    <row r="18" spans="1:4" x14ac:dyDescent="0.25">
      <c r="A18" s="6">
        <f>Data!A18</f>
        <v>39.013690953734915</v>
      </c>
      <c r="B18" s="7">
        <f>Data!B18</f>
        <v>3</v>
      </c>
      <c r="C18" s="9">
        <f t="shared" si="0"/>
        <v>39.013690953734915</v>
      </c>
      <c r="D18" s="12"/>
    </row>
    <row r="19" spans="1:4" hidden="1" x14ac:dyDescent="0.25">
      <c r="A19" s="6">
        <f>Data!A19</f>
        <v>41.906611791879364</v>
      </c>
      <c r="B19" s="7">
        <f>Data!B19</f>
        <v>4</v>
      </c>
      <c r="C19" s="9" t="str">
        <f t="shared" si="0"/>
        <v/>
      </c>
      <c r="D19" s="12"/>
    </row>
    <row r="20" spans="1:4" hidden="1" x14ac:dyDescent="0.25">
      <c r="A20" s="6">
        <f>Data!A20</f>
        <v>46.185543128916294</v>
      </c>
      <c r="B20" s="7">
        <f>Data!B20</f>
        <v>2</v>
      </c>
      <c r="C20" s="9" t="str">
        <f t="shared" si="0"/>
        <v/>
      </c>
      <c r="D20" s="12"/>
    </row>
    <row r="21" spans="1:4" hidden="1" x14ac:dyDescent="0.25">
      <c r="A21" s="6">
        <f>Data!A21</f>
        <v>44.310984620414025</v>
      </c>
      <c r="B21" s="7">
        <f>Data!B21</f>
        <v>2</v>
      </c>
      <c r="C21" s="9" t="str">
        <f t="shared" si="0"/>
        <v/>
      </c>
      <c r="D21" s="12"/>
    </row>
    <row r="22" spans="1:4" hidden="1" x14ac:dyDescent="0.25">
      <c r="A22" s="6">
        <f>Data!A22</f>
        <v>37.548149743393402</v>
      </c>
      <c r="B22" s="7">
        <f>Data!B22</f>
        <v>1</v>
      </c>
      <c r="C22" s="9" t="str">
        <f t="shared" si="0"/>
        <v/>
      </c>
      <c r="D22" s="12"/>
    </row>
    <row r="23" spans="1:4" x14ac:dyDescent="0.25">
      <c r="A23" s="6">
        <f>Data!A23</f>
        <v>48.188230863509432</v>
      </c>
      <c r="B23" s="7">
        <f>Data!B23</f>
        <v>3</v>
      </c>
      <c r="C23" s="9">
        <f t="shared" si="0"/>
        <v>48.188230863509432</v>
      </c>
      <c r="D23" s="12"/>
    </row>
    <row r="24" spans="1:4" hidden="1" x14ac:dyDescent="0.25">
      <c r="A24" s="6">
        <f>Data!A24</f>
        <v>40.897120258406765</v>
      </c>
      <c r="B24" s="7">
        <f>Data!B24</f>
        <v>1</v>
      </c>
      <c r="C24" s="9" t="str">
        <f t="shared" si="0"/>
        <v/>
      </c>
      <c r="D24" s="12"/>
    </row>
    <row r="25" spans="1:4" hidden="1" x14ac:dyDescent="0.25">
      <c r="A25" s="6">
        <f>Data!A25</f>
        <v>39.281136454793241</v>
      </c>
      <c r="B25" s="7">
        <f>Data!B25</f>
        <v>1</v>
      </c>
      <c r="C25" s="9" t="str">
        <f t="shared" si="0"/>
        <v/>
      </c>
      <c r="D25" s="12"/>
    </row>
    <row r="26" spans="1:4" hidden="1" x14ac:dyDescent="0.25">
      <c r="A26" s="6">
        <f>Data!A26</f>
        <v>46.907224843992182</v>
      </c>
      <c r="B26" s="7">
        <f>Data!B26</f>
        <v>4</v>
      </c>
      <c r="C26" s="9" t="str">
        <f t="shared" si="0"/>
        <v/>
      </c>
      <c r="D26" s="12"/>
    </row>
    <row r="27" spans="1:4" hidden="1" x14ac:dyDescent="0.25">
      <c r="A27" s="6">
        <f>Data!A27</f>
        <v>37.053401825432033</v>
      </c>
      <c r="B27" s="7">
        <f>Data!B27</f>
        <v>4</v>
      </c>
      <c r="C27" s="9" t="str">
        <f t="shared" si="0"/>
        <v/>
      </c>
      <c r="D27" s="12"/>
    </row>
    <row r="28" spans="1:4" hidden="1" x14ac:dyDescent="0.25">
      <c r="A28" s="6">
        <f>Data!A28</f>
        <v>50.759767807981675</v>
      </c>
      <c r="B28" s="7">
        <f>Data!B28</f>
        <v>4</v>
      </c>
      <c r="C28" s="9" t="str">
        <f t="shared" si="0"/>
        <v/>
      </c>
      <c r="D28" s="12"/>
    </row>
    <row r="29" spans="1:4" hidden="1" x14ac:dyDescent="0.25">
      <c r="A29" s="6">
        <f>Data!A29</f>
        <v>44.192973567047744</v>
      </c>
      <c r="B29" s="7">
        <f>Data!B29</f>
        <v>4</v>
      </c>
      <c r="C29" s="9" t="str">
        <f t="shared" si="0"/>
        <v/>
      </c>
      <c r="D29" s="12"/>
    </row>
    <row r="30" spans="1:4" x14ac:dyDescent="0.25">
      <c r="A30" s="6">
        <f>Data!A30</f>
        <v>39.084447921424463</v>
      </c>
      <c r="B30" s="7">
        <f>Data!B30</f>
        <v>3</v>
      </c>
      <c r="C30" s="9">
        <f t="shared" si="0"/>
        <v>39.084447921424463</v>
      </c>
      <c r="D30" s="12"/>
    </row>
    <row r="31" spans="1:4" hidden="1" x14ac:dyDescent="0.25">
      <c r="A31" s="6">
        <f>Data!A31</f>
        <v>43.814454599433162</v>
      </c>
      <c r="B31" s="7">
        <f>Data!B31</f>
        <v>4</v>
      </c>
      <c r="C31" s="9" t="str">
        <f t="shared" si="0"/>
        <v/>
      </c>
      <c r="D31" s="12"/>
    </row>
    <row r="32" spans="1:4" hidden="1" x14ac:dyDescent="0.25">
      <c r="A32" s="6">
        <f>Data!A32</f>
        <v>49.425777275669049</v>
      </c>
      <c r="B32" s="7">
        <f>Data!B32</f>
        <v>1</v>
      </c>
      <c r="C32" s="9" t="str">
        <f t="shared" si="0"/>
        <v/>
      </c>
      <c r="D32" s="12"/>
    </row>
    <row r="33" spans="1:4" hidden="1" x14ac:dyDescent="0.25">
      <c r="A33" s="6">
        <f>Data!A33</f>
        <v>47.680253767585505</v>
      </c>
      <c r="B33" s="7">
        <f>Data!B33</f>
        <v>1</v>
      </c>
      <c r="C33" s="9" t="str">
        <f t="shared" si="0"/>
        <v/>
      </c>
      <c r="D33" s="12"/>
    </row>
    <row r="34" spans="1:4" hidden="1" x14ac:dyDescent="0.25">
      <c r="A34" s="6">
        <f>Data!A34</f>
        <v>40.913898362926616</v>
      </c>
      <c r="B34" s="7">
        <f>Data!B34</f>
        <v>1</v>
      </c>
      <c r="C34" s="9" t="str">
        <f t="shared" si="0"/>
        <v/>
      </c>
      <c r="D34" s="12"/>
    </row>
    <row r="35" spans="1:4" hidden="1" x14ac:dyDescent="0.25">
      <c r="A35" s="6">
        <f>Data!A35</f>
        <v>50.936759679994623</v>
      </c>
      <c r="B35" s="7">
        <f>Data!B35</f>
        <v>1</v>
      </c>
      <c r="C35" s="9" t="str">
        <f t="shared" si="0"/>
        <v/>
      </c>
      <c r="D35" s="12"/>
    </row>
    <row r="36" spans="1:4" hidden="1" x14ac:dyDescent="0.25">
      <c r="A36" s="6">
        <f>Data!A36</f>
        <v>38.709368467843248</v>
      </c>
      <c r="B36" s="7">
        <f>Data!B36</f>
        <v>1</v>
      </c>
      <c r="C36" s="9" t="str">
        <f t="shared" si="0"/>
        <v/>
      </c>
      <c r="D36" s="12"/>
    </row>
    <row r="37" spans="1:4" hidden="1" x14ac:dyDescent="0.25">
      <c r="A37" s="6">
        <f>Data!A37</f>
        <v>38.001734275765038</v>
      </c>
      <c r="B37" s="7">
        <f>Data!B37</f>
        <v>1</v>
      </c>
      <c r="C37" s="9" t="str">
        <f t="shared" si="0"/>
        <v/>
      </c>
      <c r="D37" s="12"/>
    </row>
    <row r="38" spans="1:4" hidden="1" x14ac:dyDescent="0.25">
      <c r="A38" s="6">
        <f>Data!A38</f>
        <v>41.208664543822955</v>
      </c>
      <c r="B38" s="7">
        <f>Data!B38</f>
        <v>4</v>
      </c>
      <c r="C38" s="9" t="str">
        <f t="shared" si="0"/>
        <v/>
      </c>
      <c r="D38" s="12"/>
    </row>
    <row r="39" spans="1:4" hidden="1" x14ac:dyDescent="0.25">
      <c r="A39" s="6">
        <f>Data!A39</f>
        <v>40.007779676143173</v>
      </c>
      <c r="B39" s="7">
        <f>Data!B39</f>
        <v>1</v>
      </c>
      <c r="C39" s="9" t="str">
        <f t="shared" si="0"/>
        <v/>
      </c>
      <c r="D39" s="12"/>
    </row>
    <row r="40" spans="1:4" hidden="1" x14ac:dyDescent="0.25">
      <c r="A40" s="6">
        <f>Data!A40</f>
        <v>51.392788858413752</v>
      </c>
      <c r="B40" s="7">
        <f>Data!B40</f>
        <v>2</v>
      </c>
      <c r="C40" s="9" t="str">
        <f t="shared" si="0"/>
        <v/>
      </c>
      <c r="D40" s="12"/>
    </row>
    <row r="41" spans="1:4" hidden="1" x14ac:dyDescent="0.25">
      <c r="A41" s="6">
        <f>Data!A41</f>
        <v>46.948868820675877</v>
      </c>
      <c r="B41" s="7">
        <f>Data!B41</f>
        <v>1</v>
      </c>
      <c r="C41" s="9" t="str">
        <f t="shared" si="0"/>
        <v/>
      </c>
      <c r="D41" s="12"/>
    </row>
    <row r="42" spans="1:4" hidden="1" x14ac:dyDescent="0.25">
      <c r="A42" s="6">
        <f>Data!A42</f>
        <v>45.074112967662096</v>
      </c>
      <c r="B42" s="7">
        <f>Data!B42</f>
        <v>1</v>
      </c>
      <c r="C42" s="9" t="str">
        <f t="shared" si="0"/>
        <v/>
      </c>
      <c r="D42" s="12"/>
    </row>
    <row r="43" spans="1:4" hidden="1" x14ac:dyDescent="0.25">
      <c r="A43" s="6">
        <f>Data!A43</f>
        <v>47.706766085820092</v>
      </c>
      <c r="B43" s="7">
        <f>Data!B43</f>
        <v>4</v>
      </c>
      <c r="C43" s="9" t="str">
        <f t="shared" si="0"/>
        <v/>
      </c>
      <c r="D43" s="12"/>
    </row>
    <row r="44" spans="1:4" hidden="1" x14ac:dyDescent="0.25">
      <c r="A44" s="6">
        <f>Data!A44</f>
        <v>51.622310860567595</v>
      </c>
      <c r="B44" s="7">
        <f>Data!B44</f>
        <v>2</v>
      </c>
      <c r="C44" s="9" t="str">
        <f t="shared" si="0"/>
        <v/>
      </c>
      <c r="D44" s="12"/>
    </row>
    <row r="45" spans="1:4" hidden="1" x14ac:dyDescent="0.25">
      <c r="A45" s="6">
        <f>Data!A45</f>
        <v>45.06099098559676</v>
      </c>
      <c r="B45" s="7">
        <f>Data!B45</f>
        <v>4</v>
      </c>
      <c r="C45" s="9" t="str">
        <f t="shared" si="0"/>
        <v/>
      </c>
      <c r="D45" s="12"/>
    </row>
    <row r="46" spans="1:4" hidden="1" x14ac:dyDescent="0.25">
      <c r="A46" s="6">
        <f>Data!A46</f>
        <v>45.814009367567493</v>
      </c>
      <c r="B46" s="7">
        <f>Data!B46</f>
        <v>2</v>
      </c>
      <c r="C46" s="9" t="str">
        <f t="shared" si="0"/>
        <v/>
      </c>
      <c r="D46" s="12"/>
    </row>
    <row r="47" spans="1:4" hidden="1" x14ac:dyDescent="0.25">
      <c r="A47" s="6">
        <f>Data!A47</f>
        <v>45.998038124263232</v>
      </c>
      <c r="B47" s="7">
        <f>Data!B47</f>
        <v>1</v>
      </c>
      <c r="C47" s="9" t="str">
        <f t="shared" si="0"/>
        <v/>
      </c>
      <c r="D47" s="12"/>
    </row>
    <row r="48" spans="1:4" hidden="1" x14ac:dyDescent="0.25">
      <c r="A48" s="6">
        <f>Data!A48</f>
        <v>43.425744921008565</v>
      </c>
      <c r="B48" s="7">
        <f>Data!B48</f>
        <v>1</v>
      </c>
      <c r="C48" s="9" t="str">
        <f t="shared" si="0"/>
        <v/>
      </c>
      <c r="D48" s="12"/>
    </row>
    <row r="49" spans="1:4" hidden="1" x14ac:dyDescent="0.25">
      <c r="A49" s="6">
        <f>Data!A49</f>
        <v>45.898692843185799</v>
      </c>
      <c r="B49" s="7">
        <f>Data!B49</f>
        <v>2</v>
      </c>
      <c r="C49" s="9" t="str">
        <f t="shared" si="0"/>
        <v/>
      </c>
      <c r="D49" s="12"/>
    </row>
    <row r="50" spans="1:4" hidden="1" x14ac:dyDescent="0.25">
      <c r="A50" s="6">
        <f>Data!A50</f>
        <v>45.254443871030283</v>
      </c>
      <c r="B50" s="7">
        <f>Data!B50</f>
        <v>1</v>
      </c>
      <c r="C50" s="9" t="str">
        <f t="shared" si="0"/>
        <v/>
      </c>
      <c r="D50" s="12"/>
    </row>
    <row r="51" spans="1:4" hidden="1" x14ac:dyDescent="0.25">
      <c r="A51" s="6">
        <f>Data!A51</f>
        <v>47.277039620318604</v>
      </c>
      <c r="B51" s="7">
        <f>Data!B51</f>
        <v>4</v>
      </c>
      <c r="C51" s="9" t="str">
        <f t="shared" si="0"/>
        <v/>
      </c>
      <c r="D51" s="12"/>
    </row>
    <row r="52" spans="1:4" hidden="1" x14ac:dyDescent="0.25">
      <c r="A52" s="6">
        <f>Data!A52</f>
        <v>49.672699992539357</v>
      </c>
      <c r="B52" s="7">
        <f>Data!B52</f>
        <v>2</v>
      </c>
      <c r="C52" s="9" t="str">
        <f t="shared" si="0"/>
        <v/>
      </c>
      <c r="D52" s="12"/>
    </row>
    <row r="53" spans="1:4" x14ac:dyDescent="0.25">
      <c r="A53" s="6">
        <f>Data!A53</f>
        <v>42.704712151439715</v>
      </c>
      <c r="B53" s="7">
        <f>Data!B53</f>
        <v>3</v>
      </c>
      <c r="C53" s="9">
        <f t="shared" si="0"/>
        <v>42.704712151439715</v>
      </c>
      <c r="D53" s="12"/>
    </row>
    <row r="54" spans="1:4" hidden="1" x14ac:dyDescent="0.25">
      <c r="A54" s="6">
        <f>Data!A54</f>
        <v>44.738958901729568</v>
      </c>
      <c r="B54" s="7">
        <f>Data!B54</f>
        <v>2</v>
      </c>
      <c r="C54" s="9" t="str">
        <f t="shared" si="0"/>
        <v/>
      </c>
      <c r="D54" s="12"/>
    </row>
    <row r="55" spans="1:4" hidden="1" x14ac:dyDescent="0.25">
      <c r="A55" s="6">
        <f>Data!A55</f>
        <v>42.109654831363514</v>
      </c>
      <c r="B55" s="7">
        <f>Data!B55</f>
        <v>1</v>
      </c>
      <c r="C55" s="9" t="str">
        <f t="shared" si="0"/>
        <v/>
      </c>
      <c r="D55" s="12"/>
    </row>
    <row r="56" spans="1:4" hidden="1" x14ac:dyDescent="0.25">
      <c r="A56" s="6">
        <f>Data!A56</f>
        <v>45.039150496699484</v>
      </c>
      <c r="B56" s="7">
        <f>Data!B56</f>
        <v>2</v>
      </c>
      <c r="C56" s="9" t="str">
        <f t="shared" si="0"/>
        <v/>
      </c>
      <c r="D56" s="12"/>
    </row>
    <row r="57" spans="1:4" hidden="1" x14ac:dyDescent="0.25">
      <c r="A57" s="6">
        <f>Data!A57</f>
        <v>48.298594683578472</v>
      </c>
      <c r="B57" s="7">
        <f>Data!B57</f>
        <v>2</v>
      </c>
      <c r="C57" s="9" t="str">
        <f t="shared" si="0"/>
        <v/>
      </c>
      <c r="D57" s="12"/>
    </row>
    <row r="58" spans="1:4" hidden="1" x14ac:dyDescent="0.25">
      <c r="A58" s="6">
        <f>Data!A58</f>
        <v>48.41022895795151</v>
      </c>
      <c r="B58" s="7">
        <f>Data!B58</f>
        <v>2</v>
      </c>
      <c r="C58" s="9" t="str">
        <f t="shared" si="0"/>
        <v/>
      </c>
      <c r="D58" s="12"/>
    </row>
    <row r="59" spans="1:4" hidden="1" x14ac:dyDescent="0.25">
      <c r="A59" s="6">
        <f>Data!A59</f>
        <v>53.095967480002827</v>
      </c>
      <c r="B59" s="7">
        <f>Data!B59</f>
        <v>4</v>
      </c>
      <c r="C59" s="9" t="str">
        <f t="shared" si="0"/>
        <v/>
      </c>
      <c r="D59" s="12"/>
    </row>
    <row r="60" spans="1:4" hidden="1" x14ac:dyDescent="0.25">
      <c r="A60" s="6">
        <f>Data!A60</f>
        <v>45.975233492116239</v>
      </c>
      <c r="B60" s="7">
        <f>Data!B60</f>
        <v>4</v>
      </c>
      <c r="C60" s="9" t="str">
        <f t="shared" si="0"/>
        <v/>
      </c>
      <c r="D60" s="12"/>
    </row>
    <row r="61" spans="1:4" hidden="1" x14ac:dyDescent="0.25">
      <c r="A61" s="6">
        <f>Data!A61</f>
        <v>39.271092867327845</v>
      </c>
      <c r="B61" s="7">
        <f>Data!B61</f>
        <v>4</v>
      </c>
      <c r="C61" s="9" t="str">
        <f t="shared" si="0"/>
        <v/>
      </c>
      <c r="D61" s="12"/>
    </row>
    <row r="62" spans="1:4" hidden="1" x14ac:dyDescent="0.25">
      <c r="A62" s="6">
        <f>Data!A62</f>
        <v>48.881721547267844</v>
      </c>
      <c r="B62" s="7">
        <f>Data!B62</f>
        <v>1</v>
      </c>
      <c r="C62" s="9" t="str">
        <f t="shared" si="0"/>
        <v/>
      </c>
      <c r="D62" s="12"/>
    </row>
    <row r="63" spans="1:4" hidden="1" x14ac:dyDescent="0.25">
      <c r="A63" s="6">
        <f>Data!A63</f>
        <v>48.027314719316017</v>
      </c>
      <c r="B63" s="7">
        <f>Data!B63</f>
        <v>4</v>
      </c>
      <c r="C63" s="9" t="str">
        <f t="shared" si="0"/>
        <v/>
      </c>
      <c r="D63" s="12"/>
    </row>
    <row r="64" spans="1:4" hidden="1" x14ac:dyDescent="0.25">
      <c r="A64" s="6">
        <f>Data!A64</f>
        <v>36.793395417794002</v>
      </c>
      <c r="B64" s="7">
        <f>Data!B64</f>
        <v>1</v>
      </c>
      <c r="C64" s="9" t="str">
        <f t="shared" si="0"/>
        <v/>
      </c>
      <c r="D64" s="12"/>
    </row>
    <row r="65" spans="1:4" x14ac:dyDescent="0.25">
      <c r="A65" s="6">
        <f>Data!A65</f>
        <v>44.929975169961295</v>
      </c>
      <c r="B65" s="7">
        <f>Data!B65</f>
        <v>3</v>
      </c>
      <c r="C65" s="9">
        <f t="shared" si="0"/>
        <v>44.929975169961295</v>
      </c>
      <c r="D65" s="12"/>
    </row>
    <row r="66" spans="1:4" hidden="1" x14ac:dyDescent="0.25">
      <c r="A66" s="6">
        <f>Data!A66</f>
        <v>43.313987266244062</v>
      </c>
      <c r="B66" s="7">
        <f>Data!B66</f>
        <v>2</v>
      </c>
      <c r="C66" s="9" t="str">
        <f t="shared" si="0"/>
        <v/>
      </c>
      <c r="D66" s="12"/>
    </row>
    <row r="67" spans="1:4" hidden="1" x14ac:dyDescent="0.25">
      <c r="A67" s="6">
        <f>Data!A67</f>
        <v>44.26677595795784</v>
      </c>
      <c r="B67" s="7">
        <f>Data!B67</f>
        <v>4</v>
      </c>
      <c r="C67" s="9" t="str">
        <f t="shared" ref="C67:C130" si="1">IF(B67=$D$2,A67,"")</f>
        <v/>
      </c>
      <c r="D67" s="12"/>
    </row>
    <row r="68" spans="1:4" hidden="1" x14ac:dyDescent="0.25">
      <c r="A68" s="6">
        <f>Data!A68</f>
        <v>45.179808178377286</v>
      </c>
      <c r="B68" s="7">
        <f>Data!B68</f>
        <v>1</v>
      </c>
      <c r="C68" s="9" t="str">
        <f t="shared" si="1"/>
        <v/>
      </c>
      <c r="D68" s="12"/>
    </row>
    <row r="69" spans="1:4" hidden="1" x14ac:dyDescent="0.25">
      <c r="A69" s="6">
        <f>Data!A69</f>
        <v>52.435842476626071</v>
      </c>
      <c r="B69" s="7">
        <f>Data!B69</f>
        <v>2</v>
      </c>
      <c r="C69" s="9" t="str">
        <f t="shared" si="1"/>
        <v/>
      </c>
      <c r="D69" s="12"/>
    </row>
    <row r="70" spans="1:4" hidden="1" x14ac:dyDescent="0.25">
      <c r="A70" s="6">
        <f>Data!A70</f>
        <v>40.881383917611672</v>
      </c>
      <c r="B70" s="7">
        <f>Data!B70</f>
        <v>4</v>
      </c>
      <c r="C70" s="9" t="str">
        <f t="shared" si="1"/>
        <v/>
      </c>
      <c r="D70" s="12"/>
    </row>
    <row r="71" spans="1:4" hidden="1" x14ac:dyDescent="0.25">
      <c r="A71" s="6">
        <f>Data!A71</f>
        <v>52.490897346829087</v>
      </c>
      <c r="B71" s="7">
        <f>Data!B71</f>
        <v>2</v>
      </c>
      <c r="C71" s="9" t="str">
        <f t="shared" si="1"/>
        <v/>
      </c>
      <c r="D71" s="12"/>
    </row>
    <row r="72" spans="1:4" hidden="1" x14ac:dyDescent="0.25">
      <c r="A72" s="6">
        <f>Data!A72</f>
        <v>43.990669781348117</v>
      </c>
      <c r="B72" s="7">
        <f>Data!B72</f>
        <v>1</v>
      </c>
      <c r="C72" s="9" t="str">
        <f t="shared" si="1"/>
        <v/>
      </c>
      <c r="D72" s="12"/>
    </row>
    <row r="73" spans="1:4" hidden="1" x14ac:dyDescent="0.25">
      <c r="A73" s="6">
        <f>Data!A73</f>
        <v>43.419950256776239</v>
      </c>
      <c r="B73" s="7">
        <f>Data!B73</f>
        <v>1</v>
      </c>
      <c r="C73" s="9" t="str">
        <f t="shared" si="1"/>
        <v/>
      </c>
      <c r="D73" s="12"/>
    </row>
    <row r="74" spans="1:4" hidden="1" x14ac:dyDescent="0.25">
      <c r="A74" s="6">
        <f>Data!A74</f>
        <v>48.780998615165828</v>
      </c>
      <c r="B74" s="7">
        <f>Data!B74</f>
        <v>1</v>
      </c>
      <c r="C74" s="9" t="str">
        <f t="shared" si="1"/>
        <v/>
      </c>
      <c r="D74" s="12"/>
    </row>
    <row r="75" spans="1:4" hidden="1" x14ac:dyDescent="0.25">
      <c r="A75" s="6">
        <f>Data!A75</f>
        <v>45.053157114668082</v>
      </c>
      <c r="B75" s="7">
        <f>Data!B75</f>
        <v>4</v>
      </c>
      <c r="C75" s="9" t="str">
        <f t="shared" si="1"/>
        <v/>
      </c>
      <c r="D75" s="12"/>
    </row>
    <row r="76" spans="1:4" hidden="1" x14ac:dyDescent="0.25">
      <c r="A76" s="6">
        <f>Data!A76</f>
        <v>50.699960044961003</v>
      </c>
      <c r="B76" s="7">
        <f>Data!B76</f>
        <v>4</v>
      </c>
      <c r="C76" s="9" t="str">
        <f t="shared" si="1"/>
        <v/>
      </c>
      <c r="D76" s="12"/>
    </row>
    <row r="77" spans="1:4" hidden="1" x14ac:dyDescent="0.25">
      <c r="A77" s="6">
        <f>Data!A77</f>
        <v>40.324119952849436</v>
      </c>
      <c r="B77" s="7">
        <f>Data!B77</f>
        <v>1</v>
      </c>
      <c r="C77" s="9" t="str">
        <f t="shared" si="1"/>
        <v/>
      </c>
      <c r="D77" s="12"/>
    </row>
    <row r="78" spans="1:4" x14ac:dyDescent="0.25">
      <c r="A78" s="6">
        <f>Data!A78</f>
        <v>40.630406767593421</v>
      </c>
      <c r="B78" s="7">
        <f>Data!B78</f>
        <v>3</v>
      </c>
      <c r="C78" s="9">
        <f t="shared" si="1"/>
        <v>40.630406767593421</v>
      </c>
      <c r="D78" s="12"/>
    </row>
    <row r="79" spans="1:4" hidden="1" x14ac:dyDescent="0.25">
      <c r="A79" s="6">
        <f>Data!A79</f>
        <v>49.453048334275486</v>
      </c>
      <c r="B79" s="7">
        <f>Data!B79</f>
        <v>2</v>
      </c>
      <c r="C79" s="9" t="str">
        <f t="shared" si="1"/>
        <v/>
      </c>
      <c r="D79" s="12"/>
    </row>
    <row r="80" spans="1:4" hidden="1" x14ac:dyDescent="0.25">
      <c r="A80" s="6">
        <f>Data!A80</f>
        <v>45.856445709363115</v>
      </c>
      <c r="B80" s="7">
        <f>Data!B80</f>
        <v>4</v>
      </c>
      <c r="C80" s="9" t="str">
        <f t="shared" si="1"/>
        <v/>
      </c>
      <c r="D80" s="12"/>
    </row>
    <row r="81" spans="1:4" x14ac:dyDescent="0.25">
      <c r="A81" s="6">
        <f>Data!A81</f>
        <v>51.211576532417695</v>
      </c>
      <c r="B81" s="7">
        <f>Data!B81</f>
        <v>3</v>
      </c>
      <c r="C81" s="9">
        <f t="shared" si="1"/>
        <v>51.211576532417695</v>
      </c>
      <c r="D81" s="12"/>
    </row>
    <row r="82" spans="1:4" hidden="1" x14ac:dyDescent="0.25">
      <c r="A82" s="6">
        <f>Data!A82</f>
        <v>51.541323305405868</v>
      </c>
      <c r="B82" s="7">
        <f>Data!B82</f>
        <v>4</v>
      </c>
      <c r="C82" s="9" t="str">
        <f t="shared" si="1"/>
        <v/>
      </c>
      <c r="D82" s="12"/>
    </row>
    <row r="83" spans="1:4" x14ac:dyDescent="0.25">
      <c r="A83" s="6">
        <f>Data!A83</f>
        <v>51.475040729077875</v>
      </c>
      <c r="B83" s="7">
        <f>Data!B83</f>
        <v>3</v>
      </c>
      <c r="C83" s="9">
        <f t="shared" si="1"/>
        <v>51.475040729077875</v>
      </c>
      <c r="D83" s="12"/>
    </row>
    <row r="84" spans="1:4" hidden="1" x14ac:dyDescent="0.25">
      <c r="A84" s="6">
        <f>Data!A84</f>
        <v>51.465080354010098</v>
      </c>
      <c r="B84" s="7">
        <f>Data!B84</f>
        <v>4</v>
      </c>
      <c r="C84" s="9" t="str">
        <f t="shared" si="1"/>
        <v/>
      </c>
      <c r="D84" s="12"/>
    </row>
    <row r="85" spans="1:4" hidden="1" x14ac:dyDescent="0.25">
      <c r="A85" s="6">
        <f>Data!A85</f>
        <v>48.500314559815138</v>
      </c>
      <c r="B85" s="7">
        <f>Data!B85</f>
        <v>4</v>
      </c>
      <c r="C85" s="9" t="str">
        <f t="shared" si="1"/>
        <v/>
      </c>
      <c r="D85" s="12"/>
    </row>
    <row r="86" spans="1:4" hidden="1" x14ac:dyDescent="0.25">
      <c r="A86" s="6">
        <f>Data!A86</f>
        <v>47.000076528572365</v>
      </c>
      <c r="B86" s="7">
        <f>Data!B86</f>
        <v>4</v>
      </c>
      <c r="C86" s="9" t="str">
        <f t="shared" si="1"/>
        <v/>
      </c>
      <c r="D86" s="12"/>
    </row>
    <row r="87" spans="1:4" hidden="1" x14ac:dyDescent="0.25">
      <c r="A87" s="6">
        <f>Data!A87</f>
        <v>43.123545317038847</v>
      </c>
      <c r="B87" s="7">
        <f>Data!B87</f>
        <v>2</v>
      </c>
      <c r="C87" s="9" t="str">
        <f t="shared" si="1"/>
        <v/>
      </c>
      <c r="D87" s="12"/>
    </row>
    <row r="88" spans="1:4" x14ac:dyDescent="0.25">
      <c r="A88" s="6">
        <f>Data!A88</f>
        <v>45.72047631600168</v>
      </c>
      <c r="B88" s="7">
        <f>Data!B88</f>
        <v>3</v>
      </c>
      <c r="C88" s="9">
        <f t="shared" si="1"/>
        <v>45.72047631600168</v>
      </c>
      <c r="D88" s="12"/>
    </row>
    <row r="89" spans="1:4" hidden="1" x14ac:dyDescent="0.25">
      <c r="A89" s="6">
        <f>Data!A89</f>
        <v>50.558870265000145</v>
      </c>
      <c r="B89" s="7">
        <f>Data!B89</f>
        <v>4</v>
      </c>
      <c r="C89" s="9" t="str">
        <f t="shared" si="1"/>
        <v/>
      </c>
      <c r="D89" s="12"/>
    </row>
    <row r="90" spans="1:4" x14ac:dyDescent="0.25">
      <c r="A90" s="6">
        <f>Data!A90</f>
        <v>37.144582718582939</v>
      </c>
      <c r="B90" s="7">
        <f>Data!B90</f>
        <v>3</v>
      </c>
      <c r="C90" s="9">
        <f t="shared" si="1"/>
        <v>37.144582718582939</v>
      </c>
      <c r="D90" s="12"/>
    </row>
    <row r="91" spans="1:4" hidden="1" x14ac:dyDescent="0.25">
      <c r="A91" s="6">
        <f>Data!A91</f>
        <v>40.72370373040706</v>
      </c>
      <c r="B91" s="7">
        <f>Data!B91</f>
        <v>4</v>
      </c>
      <c r="C91" s="9" t="str">
        <f t="shared" si="1"/>
        <v/>
      </c>
      <c r="D91" s="12"/>
    </row>
    <row r="92" spans="1:4" hidden="1" x14ac:dyDescent="0.25">
      <c r="A92" s="6">
        <f>Data!A92</f>
        <v>46.914904787651857</v>
      </c>
      <c r="B92" s="7">
        <f>Data!B92</f>
        <v>2</v>
      </c>
      <c r="C92" s="9" t="str">
        <f t="shared" si="1"/>
        <v/>
      </c>
      <c r="D92" s="12"/>
    </row>
    <row r="93" spans="1:4" hidden="1" x14ac:dyDescent="0.25">
      <c r="A93" s="6">
        <f>Data!A93</f>
        <v>49.362383878039836</v>
      </c>
      <c r="B93" s="7">
        <f>Data!B93</f>
        <v>4</v>
      </c>
      <c r="C93" s="9" t="str">
        <f t="shared" si="1"/>
        <v/>
      </c>
      <c r="D93" s="12"/>
    </row>
    <row r="94" spans="1:4" hidden="1" x14ac:dyDescent="0.25">
      <c r="A94" s="6">
        <f>Data!A94</f>
        <v>44.921298848223714</v>
      </c>
      <c r="B94" s="7">
        <f>Data!B94</f>
        <v>4</v>
      </c>
      <c r="C94" s="9" t="str">
        <f t="shared" si="1"/>
        <v/>
      </c>
      <c r="D94" s="12"/>
    </row>
    <row r="95" spans="1:4" hidden="1" x14ac:dyDescent="0.25">
      <c r="A95" s="6">
        <f>Data!A95</f>
        <v>39.980835124416892</v>
      </c>
      <c r="B95" s="7">
        <f>Data!B95</f>
        <v>4</v>
      </c>
      <c r="C95" s="9" t="str">
        <f t="shared" si="1"/>
        <v/>
      </c>
      <c r="D95" s="12"/>
    </row>
    <row r="96" spans="1:4" hidden="1" x14ac:dyDescent="0.25">
      <c r="A96" s="6">
        <f>Data!A96</f>
        <v>42.06150237035294</v>
      </c>
      <c r="B96" s="7">
        <f>Data!B96</f>
        <v>1</v>
      </c>
      <c r="C96" s="9" t="str">
        <f t="shared" si="1"/>
        <v/>
      </c>
      <c r="D96" s="12"/>
    </row>
    <row r="97" spans="1:4" x14ac:dyDescent="0.25">
      <c r="A97" s="6">
        <f>Data!A97</f>
        <v>45.091496694573806</v>
      </c>
      <c r="B97" s="7">
        <f>Data!B97</f>
        <v>3</v>
      </c>
      <c r="C97" s="9">
        <f t="shared" si="1"/>
        <v>45.091496694573806</v>
      </c>
      <c r="D97" s="12"/>
    </row>
    <row r="98" spans="1:4" hidden="1" x14ac:dyDescent="0.25">
      <c r="A98" s="6">
        <f>Data!A98</f>
        <v>43.399300340386709</v>
      </c>
      <c r="B98" s="7">
        <f>Data!B98</f>
        <v>4</v>
      </c>
      <c r="C98" s="9" t="str">
        <f t="shared" si="1"/>
        <v/>
      </c>
      <c r="D98" s="12"/>
    </row>
    <row r="99" spans="1:4" hidden="1" x14ac:dyDescent="0.25">
      <c r="A99" s="6">
        <f>Data!A99</f>
        <v>38.279550312735118</v>
      </c>
      <c r="B99" s="7">
        <f>Data!B99</f>
        <v>2</v>
      </c>
      <c r="C99" s="9" t="str">
        <f t="shared" si="1"/>
        <v/>
      </c>
      <c r="D99" s="12"/>
    </row>
    <row r="100" spans="1:4" x14ac:dyDescent="0.25">
      <c r="A100" s="6">
        <f>Data!A100</f>
        <v>47.405741415669169</v>
      </c>
      <c r="B100" s="7">
        <f>Data!B100</f>
        <v>3</v>
      </c>
      <c r="C100" s="9">
        <f t="shared" si="1"/>
        <v>47.405741415669169</v>
      </c>
      <c r="D100" s="12"/>
    </row>
    <row r="101" spans="1:4" hidden="1" x14ac:dyDescent="0.25">
      <c r="A101" s="6">
        <f>Data!A101</f>
        <v>38.818591064230546</v>
      </c>
      <c r="B101" s="7">
        <f>Data!B101</f>
        <v>1</v>
      </c>
      <c r="C101" s="9" t="str">
        <f t="shared" si="1"/>
        <v/>
      </c>
      <c r="D101" s="12"/>
    </row>
    <row r="102" spans="1:4" hidden="1" x14ac:dyDescent="0.25">
      <c r="A102" s="6">
        <f>Data!A102</f>
        <v>45.078257453994844</v>
      </c>
      <c r="B102" s="7">
        <f>Data!B102</f>
        <v>4</v>
      </c>
      <c r="C102" s="9" t="str">
        <f t="shared" si="1"/>
        <v/>
      </c>
      <c r="D102" s="12"/>
    </row>
    <row r="103" spans="1:4" x14ac:dyDescent="0.25">
      <c r="A103" s="6">
        <f>Data!A103</f>
        <v>47.577164481144528</v>
      </c>
      <c r="B103" s="7">
        <f>Data!B103</f>
        <v>3</v>
      </c>
      <c r="C103" s="9">
        <f t="shared" si="1"/>
        <v>47.577164481144528</v>
      </c>
      <c r="D103" s="12"/>
    </row>
    <row r="104" spans="1:4" hidden="1" x14ac:dyDescent="0.25">
      <c r="A104" s="6">
        <f>Data!A104</f>
        <v>43.920609143032607</v>
      </c>
      <c r="B104" s="7">
        <f>Data!B104</f>
        <v>4</v>
      </c>
      <c r="C104" s="9" t="str">
        <f t="shared" si="1"/>
        <v/>
      </c>
      <c r="D104" s="12"/>
    </row>
    <row r="105" spans="1:4" hidden="1" x14ac:dyDescent="0.25">
      <c r="A105" s="6">
        <f>Data!A105</f>
        <v>44.911082044964942</v>
      </c>
      <c r="B105" s="7">
        <f>Data!B105</f>
        <v>1</v>
      </c>
      <c r="C105" s="9" t="str">
        <f t="shared" si="1"/>
        <v/>
      </c>
      <c r="D105" s="12"/>
    </row>
    <row r="106" spans="1:4" hidden="1" x14ac:dyDescent="0.25">
      <c r="A106" s="6">
        <f>Data!A106</f>
        <v>38.489381127568905</v>
      </c>
      <c r="B106" s="7">
        <f>Data!B106</f>
        <v>2</v>
      </c>
      <c r="C106" s="9" t="str">
        <f t="shared" si="1"/>
        <v/>
      </c>
      <c r="D106" s="12"/>
    </row>
    <row r="107" spans="1:4" hidden="1" x14ac:dyDescent="0.25">
      <c r="A107" s="6">
        <f>Data!A107</f>
        <v>40.74332017534558</v>
      </c>
      <c r="B107" s="7">
        <f>Data!B107</f>
        <v>1</v>
      </c>
      <c r="C107" s="9" t="str">
        <f t="shared" si="1"/>
        <v/>
      </c>
      <c r="D107" s="12"/>
    </row>
    <row r="108" spans="1:4" hidden="1" x14ac:dyDescent="0.25">
      <c r="A108" s="6">
        <f>Data!A108</f>
        <v>43.604860712944237</v>
      </c>
      <c r="B108" s="7">
        <f>Data!B108</f>
        <v>4</v>
      </c>
      <c r="C108" s="9" t="str">
        <f t="shared" si="1"/>
        <v/>
      </c>
      <c r="D108" s="12"/>
    </row>
    <row r="109" spans="1:4" hidden="1" x14ac:dyDescent="0.25">
      <c r="A109" s="6">
        <f>Data!A109</f>
        <v>46.499119708748879</v>
      </c>
      <c r="B109" s="7">
        <f>Data!B109</f>
        <v>1</v>
      </c>
      <c r="C109" s="9" t="str">
        <f t="shared" si="1"/>
        <v/>
      </c>
      <c r="D109" s="12"/>
    </row>
    <row r="110" spans="1:4" x14ac:dyDescent="0.25">
      <c r="A110" s="6">
        <f>Data!A110</f>
        <v>42.229984802295178</v>
      </c>
      <c r="B110" s="7">
        <f>Data!B110</f>
        <v>3</v>
      </c>
      <c r="C110" s="9">
        <f t="shared" si="1"/>
        <v>42.229984802295178</v>
      </c>
      <c r="D110" s="12"/>
    </row>
    <row r="111" spans="1:4" hidden="1" x14ac:dyDescent="0.25">
      <c r="A111" s="6">
        <f>Data!A111</f>
        <v>46.867135823866299</v>
      </c>
      <c r="B111" s="7">
        <f>Data!B111</f>
        <v>1</v>
      </c>
      <c r="C111" s="9" t="str">
        <f t="shared" si="1"/>
        <v/>
      </c>
      <c r="D111" s="12"/>
    </row>
    <row r="112" spans="1:4" x14ac:dyDescent="0.25">
      <c r="A112" s="6">
        <f>Data!A112</f>
        <v>48.182708397419226</v>
      </c>
      <c r="B112" s="7">
        <f>Data!B112</f>
        <v>3</v>
      </c>
      <c r="C112" s="9">
        <f t="shared" si="1"/>
        <v>48.182708397419226</v>
      </c>
      <c r="D112" s="12"/>
    </row>
    <row r="113" spans="1:4" hidden="1" x14ac:dyDescent="0.25">
      <c r="A113" s="6">
        <f>Data!A113</f>
        <v>49.724037143325532</v>
      </c>
      <c r="B113" s="7">
        <f>Data!B113</f>
        <v>1</v>
      </c>
      <c r="C113" s="9" t="str">
        <f t="shared" si="1"/>
        <v/>
      </c>
      <c r="D113" s="12"/>
    </row>
    <row r="114" spans="1:4" hidden="1" x14ac:dyDescent="0.25">
      <c r="A114" s="6">
        <f>Data!A114</f>
        <v>39.838226657712838</v>
      </c>
      <c r="B114" s="7">
        <f>Data!B114</f>
        <v>4</v>
      </c>
      <c r="C114" s="9" t="str">
        <f t="shared" si="1"/>
        <v/>
      </c>
      <c r="D114" s="12"/>
    </row>
    <row r="115" spans="1:4" hidden="1" x14ac:dyDescent="0.25">
      <c r="A115" s="6">
        <f>Data!A115</f>
        <v>43.179826710339249</v>
      </c>
      <c r="B115" s="7">
        <f>Data!B115</f>
        <v>4</v>
      </c>
      <c r="C115" s="9" t="str">
        <f t="shared" si="1"/>
        <v/>
      </c>
      <c r="D115" s="12"/>
    </row>
    <row r="116" spans="1:4" x14ac:dyDescent="0.25">
      <c r="A116" s="6">
        <f>Data!A116</f>
        <v>42.060671517738243</v>
      </c>
      <c r="B116" s="7">
        <f>Data!B116</f>
        <v>3</v>
      </c>
      <c r="C116" s="9">
        <f t="shared" si="1"/>
        <v>42.060671517738243</v>
      </c>
      <c r="D116" s="12"/>
    </row>
    <row r="117" spans="1:4" hidden="1" x14ac:dyDescent="0.25">
      <c r="A117" s="6">
        <f>Data!A117</f>
        <v>41.996357169806629</v>
      </c>
      <c r="B117" s="7">
        <f>Data!B117</f>
        <v>2</v>
      </c>
      <c r="C117" s="9" t="str">
        <f t="shared" si="1"/>
        <v/>
      </c>
      <c r="D117" s="12"/>
    </row>
    <row r="118" spans="1:4" hidden="1" x14ac:dyDescent="0.25">
      <c r="A118" s="6">
        <f>Data!A118</f>
        <v>42.9138405429456</v>
      </c>
      <c r="B118" s="7">
        <f>Data!B118</f>
        <v>1</v>
      </c>
      <c r="C118" s="9" t="str">
        <f t="shared" si="1"/>
        <v/>
      </c>
      <c r="D118" s="12"/>
    </row>
    <row r="119" spans="1:4" hidden="1" x14ac:dyDescent="0.25">
      <c r="A119" s="6">
        <f>Data!A119</f>
        <v>44.399218869946985</v>
      </c>
      <c r="B119" s="7">
        <f>Data!B119</f>
        <v>2</v>
      </c>
      <c r="C119" s="9" t="str">
        <f t="shared" si="1"/>
        <v/>
      </c>
      <c r="D119" s="12"/>
    </row>
    <row r="120" spans="1:4" hidden="1" x14ac:dyDescent="0.25">
      <c r="A120" s="6">
        <f>Data!A120</f>
        <v>44.250433285414701</v>
      </c>
      <c r="B120" s="7">
        <f>Data!B120</f>
        <v>4</v>
      </c>
      <c r="C120" s="9" t="str">
        <f t="shared" si="1"/>
        <v/>
      </c>
      <c r="D120" s="12"/>
    </row>
    <row r="121" spans="1:4" hidden="1" x14ac:dyDescent="0.25">
      <c r="A121" s="6">
        <f>Data!A121</f>
        <v>42.4977118435352</v>
      </c>
      <c r="B121" s="7">
        <f>Data!B121</f>
        <v>1</v>
      </c>
      <c r="C121" s="9" t="str">
        <f t="shared" si="1"/>
        <v/>
      </c>
      <c r="D121" s="12"/>
    </row>
    <row r="122" spans="1:4" x14ac:dyDescent="0.25">
      <c r="A122" s="6">
        <f>Data!A122</f>
        <v>43.345624528455673</v>
      </c>
      <c r="B122" s="7">
        <f>Data!B122</f>
        <v>3</v>
      </c>
      <c r="C122" s="9">
        <f t="shared" si="1"/>
        <v>43.345624528455673</v>
      </c>
      <c r="D122" s="12"/>
    </row>
    <row r="123" spans="1:4" hidden="1" x14ac:dyDescent="0.25">
      <c r="A123" s="6">
        <f>Data!A123</f>
        <v>42.524955275012388</v>
      </c>
      <c r="B123" s="7">
        <f>Data!B123</f>
        <v>2</v>
      </c>
      <c r="C123" s="9" t="str">
        <f t="shared" si="1"/>
        <v/>
      </c>
      <c r="D123" s="12"/>
    </row>
    <row r="124" spans="1:4" hidden="1" x14ac:dyDescent="0.25">
      <c r="A124" s="6">
        <f>Data!A124</f>
        <v>42.16277795977193</v>
      </c>
      <c r="B124" s="7">
        <f>Data!B124</f>
        <v>1</v>
      </c>
      <c r="C124" s="9" t="str">
        <f t="shared" si="1"/>
        <v/>
      </c>
      <c r="D124" s="12"/>
    </row>
    <row r="125" spans="1:4" hidden="1" x14ac:dyDescent="0.25">
      <c r="A125" s="6">
        <f>Data!A125</f>
        <v>46.493834513662264</v>
      </c>
      <c r="B125" s="7">
        <f>Data!B125</f>
        <v>1</v>
      </c>
      <c r="C125" s="9" t="str">
        <f t="shared" si="1"/>
        <v/>
      </c>
      <c r="D125" s="12"/>
    </row>
    <row r="126" spans="1:4" hidden="1" x14ac:dyDescent="0.25">
      <c r="A126" s="6">
        <f>Data!A126</f>
        <v>44.621403532110406</v>
      </c>
      <c r="B126" s="7">
        <f>Data!B126</f>
        <v>2</v>
      </c>
      <c r="C126" s="9" t="str">
        <f t="shared" si="1"/>
        <v/>
      </c>
      <c r="D126" s="12"/>
    </row>
    <row r="127" spans="1:4" hidden="1" x14ac:dyDescent="0.25">
      <c r="A127" s="6">
        <f>Data!A127</f>
        <v>38.624434938296758</v>
      </c>
      <c r="B127" s="7">
        <f>Data!B127</f>
        <v>1</v>
      </c>
      <c r="C127" s="9" t="str">
        <f t="shared" si="1"/>
        <v/>
      </c>
      <c r="D127" s="12"/>
    </row>
    <row r="128" spans="1:4" hidden="1" x14ac:dyDescent="0.25">
      <c r="A128" s="6">
        <f>Data!A128</f>
        <v>41.760501839298399</v>
      </c>
      <c r="B128" s="7">
        <f>Data!B128</f>
        <v>1</v>
      </c>
      <c r="C128" s="9" t="str">
        <f t="shared" si="1"/>
        <v/>
      </c>
      <c r="D128" s="12"/>
    </row>
    <row r="129" spans="1:4" x14ac:dyDescent="0.25">
      <c r="A129" s="6">
        <f>Data!A129</f>
        <v>43.04239390750795</v>
      </c>
      <c r="B129" s="7">
        <f>Data!B129</f>
        <v>3</v>
      </c>
      <c r="C129" s="9">
        <f t="shared" si="1"/>
        <v>43.04239390750795</v>
      </c>
      <c r="D129" s="12"/>
    </row>
    <row r="130" spans="1:4" hidden="1" x14ac:dyDescent="0.25">
      <c r="A130" s="6">
        <f>Data!A130</f>
        <v>49.910920796413784</v>
      </c>
      <c r="B130" s="7">
        <f>Data!B130</f>
        <v>2</v>
      </c>
      <c r="C130" s="9" t="str">
        <f t="shared" si="1"/>
        <v/>
      </c>
      <c r="D130" s="12"/>
    </row>
    <row r="131" spans="1:4" hidden="1" x14ac:dyDescent="0.25">
      <c r="A131" s="6">
        <f>Data!A131</f>
        <v>50.105883182483439</v>
      </c>
      <c r="B131" s="7">
        <f>Data!B131</f>
        <v>1</v>
      </c>
      <c r="C131" s="9" t="str">
        <f t="shared" ref="C131:C194" si="2">IF(B131=$D$2,A131,"")</f>
        <v/>
      </c>
      <c r="D131" s="12"/>
    </row>
    <row r="132" spans="1:4" hidden="1" x14ac:dyDescent="0.25">
      <c r="A132" s="6">
        <f>Data!A132</f>
        <v>47.262159436700159</v>
      </c>
      <c r="B132" s="7">
        <f>Data!B132</f>
        <v>4</v>
      </c>
      <c r="C132" s="9" t="str">
        <f t="shared" si="2"/>
        <v/>
      </c>
      <c r="D132" s="12"/>
    </row>
    <row r="133" spans="1:4" hidden="1" x14ac:dyDescent="0.25">
      <c r="A133" s="6">
        <f>Data!A133</f>
        <v>48.250578320718148</v>
      </c>
      <c r="B133" s="7">
        <f>Data!B133</f>
        <v>4</v>
      </c>
      <c r="C133" s="9" t="str">
        <f t="shared" si="2"/>
        <v/>
      </c>
      <c r="D133" s="12"/>
    </row>
    <row r="134" spans="1:4" hidden="1" x14ac:dyDescent="0.25">
      <c r="A134" s="6">
        <f>Data!A134</f>
        <v>48.52980749891492</v>
      </c>
      <c r="B134" s="7">
        <f>Data!B134</f>
        <v>1</v>
      </c>
      <c r="C134" s="9" t="str">
        <f t="shared" si="2"/>
        <v/>
      </c>
      <c r="D134" s="12"/>
    </row>
    <row r="135" spans="1:4" x14ac:dyDescent="0.25">
      <c r="A135" s="6">
        <f>Data!A135</f>
        <v>36.00040245082284</v>
      </c>
      <c r="B135" s="7">
        <f>Data!B135</f>
        <v>3</v>
      </c>
      <c r="C135" s="9">
        <f t="shared" si="2"/>
        <v>36.00040245082284</v>
      </c>
      <c r="D135" s="12"/>
    </row>
    <row r="136" spans="1:4" hidden="1" x14ac:dyDescent="0.25">
      <c r="A136" s="6">
        <f>Data!A136</f>
        <v>42.089389622157555</v>
      </c>
      <c r="B136" s="7">
        <f>Data!B136</f>
        <v>1</v>
      </c>
      <c r="C136" s="9" t="str">
        <f t="shared" si="2"/>
        <v/>
      </c>
      <c r="D136" s="12"/>
    </row>
    <row r="137" spans="1:4" x14ac:dyDescent="0.25">
      <c r="A137" s="6">
        <f>Data!A137</f>
        <v>38.43768218163531</v>
      </c>
      <c r="B137" s="7">
        <f>Data!B137</f>
        <v>3</v>
      </c>
      <c r="C137" s="9">
        <f t="shared" si="2"/>
        <v>38.43768218163531</v>
      </c>
      <c r="D137" s="12"/>
    </row>
    <row r="138" spans="1:4" x14ac:dyDescent="0.25">
      <c r="A138" s="6">
        <f>Data!A138</f>
        <v>41.647458250533312</v>
      </c>
      <c r="B138" s="7">
        <f>Data!B138</f>
        <v>3</v>
      </c>
      <c r="C138" s="9">
        <f t="shared" si="2"/>
        <v>41.647458250533312</v>
      </c>
      <c r="D138" s="12"/>
    </row>
    <row r="139" spans="1:4" hidden="1" x14ac:dyDescent="0.25">
      <c r="A139" s="6">
        <f>Data!A139</f>
        <v>44.4831447606173</v>
      </c>
      <c r="B139" s="7">
        <f>Data!B139</f>
        <v>1</v>
      </c>
      <c r="C139" s="9" t="str">
        <f t="shared" si="2"/>
        <v/>
      </c>
      <c r="D139" s="12"/>
    </row>
    <row r="140" spans="1:4" hidden="1" x14ac:dyDescent="0.25">
      <c r="A140" s="6">
        <f>Data!A140</f>
        <v>41.418689711098402</v>
      </c>
      <c r="B140" s="7">
        <f>Data!B140</f>
        <v>4</v>
      </c>
      <c r="C140" s="9" t="str">
        <f t="shared" si="2"/>
        <v/>
      </c>
      <c r="D140" s="12"/>
    </row>
    <row r="141" spans="1:4" hidden="1" x14ac:dyDescent="0.25">
      <c r="A141" s="6">
        <f>Data!A141</f>
        <v>46.875948227397785</v>
      </c>
      <c r="B141" s="7">
        <f>Data!B141</f>
        <v>4</v>
      </c>
      <c r="C141" s="9" t="str">
        <f t="shared" si="2"/>
        <v/>
      </c>
      <c r="D141" s="12"/>
    </row>
    <row r="142" spans="1:4" x14ac:dyDescent="0.25">
      <c r="A142" s="6">
        <f>Data!A142</f>
        <v>42.051684481191735</v>
      </c>
      <c r="B142" s="7">
        <f>Data!B142</f>
        <v>3</v>
      </c>
      <c r="C142" s="9">
        <f t="shared" si="2"/>
        <v>42.051684481191735</v>
      </c>
      <c r="D142" s="12"/>
    </row>
    <row r="143" spans="1:4" x14ac:dyDescent="0.25">
      <c r="A143" s="6">
        <f>Data!A143</f>
        <v>44.766224149240252</v>
      </c>
      <c r="B143" s="7">
        <f>Data!B143</f>
        <v>3</v>
      </c>
      <c r="C143" s="9">
        <f t="shared" si="2"/>
        <v>44.766224149240252</v>
      </c>
      <c r="D143" s="12"/>
    </row>
    <row r="144" spans="1:4" hidden="1" x14ac:dyDescent="0.25">
      <c r="A144" s="6">
        <f>Data!A144</f>
        <v>44.203998435772014</v>
      </c>
      <c r="B144" s="7">
        <f>Data!B144</f>
        <v>1</v>
      </c>
      <c r="C144" s="9" t="str">
        <f t="shared" si="2"/>
        <v/>
      </c>
      <c r="D144" s="12"/>
    </row>
    <row r="145" spans="1:4" x14ac:dyDescent="0.25">
      <c r="A145" s="6">
        <f>Data!A145</f>
        <v>46.497909544171868</v>
      </c>
      <c r="B145" s="7">
        <f>Data!B145</f>
        <v>3</v>
      </c>
      <c r="C145" s="9">
        <f t="shared" si="2"/>
        <v>46.497909544171868</v>
      </c>
      <c r="D145" s="12"/>
    </row>
    <row r="146" spans="1:4" hidden="1" x14ac:dyDescent="0.25">
      <c r="A146" s="6">
        <f>Data!A146</f>
        <v>42.680728469282172</v>
      </c>
      <c r="B146" s="7">
        <f>Data!B146</f>
        <v>2</v>
      </c>
      <c r="C146" s="9" t="str">
        <f t="shared" si="2"/>
        <v/>
      </c>
      <c r="D146" s="12"/>
    </row>
    <row r="147" spans="1:4" hidden="1" x14ac:dyDescent="0.25">
      <c r="A147" s="6">
        <f>Data!A147</f>
        <v>44.35942177075745</v>
      </c>
      <c r="B147" s="7">
        <f>Data!B147</f>
        <v>1</v>
      </c>
      <c r="C147" s="9" t="str">
        <f t="shared" si="2"/>
        <v/>
      </c>
      <c r="D147" s="12"/>
    </row>
    <row r="148" spans="1:4" hidden="1" x14ac:dyDescent="0.25">
      <c r="A148" s="6">
        <f>Data!A148</f>
        <v>41.691378530303332</v>
      </c>
      <c r="B148" s="7">
        <f>Data!B148</f>
        <v>2</v>
      </c>
      <c r="C148" s="9" t="str">
        <f t="shared" si="2"/>
        <v/>
      </c>
      <c r="D148" s="12"/>
    </row>
    <row r="149" spans="1:4" hidden="1" x14ac:dyDescent="0.25">
      <c r="A149" s="6">
        <f>Data!A149</f>
        <v>42.576904706481074</v>
      </c>
      <c r="B149" s="7">
        <f>Data!B149</f>
        <v>4</v>
      </c>
      <c r="C149" s="9" t="str">
        <f t="shared" si="2"/>
        <v/>
      </c>
      <c r="D149" s="12"/>
    </row>
    <row r="150" spans="1:4" hidden="1" x14ac:dyDescent="0.25">
      <c r="A150" s="6">
        <f>Data!A150</f>
        <v>47.625269268229424</v>
      </c>
      <c r="B150" s="7">
        <f>Data!B150</f>
        <v>2</v>
      </c>
      <c r="C150" s="9" t="str">
        <f t="shared" si="2"/>
        <v/>
      </c>
      <c r="D150" s="12"/>
    </row>
    <row r="151" spans="1:4" x14ac:dyDescent="0.25">
      <c r="A151" s="6">
        <f>Data!A151</f>
        <v>41.941139604865882</v>
      </c>
      <c r="B151" s="7">
        <f>Data!B151</f>
        <v>3</v>
      </c>
      <c r="C151" s="9">
        <f t="shared" si="2"/>
        <v>41.941139604865882</v>
      </c>
      <c r="D151" s="12"/>
    </row>
    <row r="152" spans="1:4" x14ac:dyDescent="0.25">
      <c r="A152" s="6">
        <f>Data!A152</f>
        <v>43.486966137381174</v>
      </c>
      <c r="B152" s="7">
        <f>Data!B152</f>
        <v>3</v>
      </c>
      <c r="C152" s="9">
        <f t="shared" si="2"/>
        <v>43.486966137381174</v>
      </c>
      <c r="D152" s="12"/>
    </row>
    <row r="153" spans="1:4" hidden="1" x14ac:dyDescent="0.25">
      <c r="A153" s="6">
        <f>Data!A153</f>
        <v>49.563552182453584</v>
      </c>
      <c r="B153" s="7">
        <f>Data!B153</f>
        <v>4</v>
      </c>
      <c r="C153" s="9" t="str">
        <f t="shared" si="2"/>
        <v/>
      </c>
      <c r="D153" s="12"/>
    </row>
    <row r="154" spans="1:4" hidden="1" x14ac:dyDescent="0.25">
      <c r="A154" s="6">
        <f>Data!A154</f>
        <v>46.677581278950363</v>
      </c>
      <c r="B154" s="7">
        <f>Data!B154</f>
        <v>1</v>
      </c>
      <c r="C154" s="9" t="str">
        <f t="shared" si="2"/>
        <v/>
      </c>
      <c r="D154" s="12"/>
    </row>
    <row r="155" spans="1:4" hidden="1" x14ac:dyDescent="0.25">
      <c r="A155" s="6">
        <f>Data!A155</f>
        <v>46.784427602764104</v>
      </c>
      <c r="B155" s="7">
        <f>Data!B155</f>
        <v>2</v>
      </c>
      <c r="C155" s="9" t="str">
        <f t="shared" si="2"/>
        <v/>
      </c>
      <c r="D155" s="12"/>
    </row>
    <row r="156" spans="1:4" x14ac:dyDescent="0.25">
      <c r="A156" s="6">
        <f>Data!A156</f>
        <v>49.461985581228362</v>
      </c>
      <c r="B156" s="7">
        <f>Data!B156</f>
        <v>3</v>
      </c>
      <c r="C156" s="9">
        <f t="shared" si="2"/>
        <v>49.461985581228362</v>
      </c>
      <c r="D156" s="12"/>
    </row>
    <row r="157" spans="1:4" hidden="1" x14ac:dyDescent="0.25">
      <c r="A157" s="6">
        <f>Data!A157</f>
        <v>45.141294581214247</v>
      </c>
      <c r="B157" s="7">
        <f>Data!B157</f>
        <v>2</v>
      </c>
      <c r="C157" s="9" t="str">
        <f t="shared" si="2"/>
        <v/>
      </c>
      <c r="D157" s="12"/>
    </row>
    <row r="158" spans="1:4" hidden="1" x14ac:dyDescent="0.25">
      <c r="A158" s="6">
        <f>Data!A158</f>
        <v>42.261479044406819</v>
      </c>
      <c r="B158" s="7">
        <f>Data!B158</f>
        <v>2</v>
      </c>
      <c r="C158" s="9" t="str">
        <f t="shared" si="2"/>
        <v/>
      </c>
      <c r="D158" s="12"/>
    </row>
    <row r="159" spans="1:4" hidden="1" x14ac:dyDescent="0.25">
      <c r="A159" s="6">
        <f>Data!A159</f>
        <v>44.461143497762478</v>
      </c>
      <c r="B159" s="7">
        <f>Data!B159</f>
        <v>1</v>
      </c>
      <c r="C159" s="9" t="str">
        <f t="shared" si="2"/>
        <v/>
      </c>
      <c r="D159" s="12"/>
    </row>
    <row r="160" spans="1:4" hidden="1" x14ac:dyDescent="0.25">
      <c r="A160" s="6">
        <f>Data!A160</f>
        <v>45.015703792393396</v>
      </c>
      <c r="B160" s="7">
        <f>Data!B160</f>
        <v>2</v>
      </c>
      <c r="C160" s="9" t="str">
        <f t="shared" si="2"/>
        <v/>
      </c>
      <c r="D160" s="12"/>
    </row>
    <row r="161" spans="1:4" hidden="1" x14ac:dyDescent="0.25">
      <c r="A161" s="6">
        <f>Data!A161</f>
        <v>47.770291947298006</v>
      </c>
      <c r="B161" s="7">
        <f>Data!B161</f>
        <v>1</v>
      </c>
      <c r="C161" s="9" t="str">
        <f t="shared" si="2"/>
        <v/>
      </c>
      <c r="D161" s="12"/>
    </row>
    <row r="162" spans="1:4" hidden="1" x14ac:dyDescent="0.25">
      <c r="A162" s="6">
        <f>Data!A162</f>
        <v>46.592110675748813</v>
      </c>
      <c r="B162" s="7">
        <f>Data!B162</f>
        <v>2</v>
      </c>
      <c r="C162" s="9" t="str">
        <f t="shared" si="2"/>
        <v/>
      </c>
      <c r="D162" s="12"/>
    </row>
    <row r="163" spans="1:4" hidden="1" x14ac:dyDescent="0.25">
      <c r="A163" s="6">
        <f>Data!A163</f>
        <v>44.896104048630811</v>
      </c>
      <c r="B163" s="7">
        <f>Data!B163</f>
        <v>1</v>
      </c>
      <c r="C163" s="9" t="str">
        <f t="shared" si="2"/>
        <v/>
      </c>
      <c r="D163" s="12"/>
    </row>
    <row r="164" spans="1:4" x14ac:dyDescent="0.25">
      <c r="A164" s="6">
        <f>Data!A164</f>
        <v>39.76720303861849</v>
      </c>
      <c r="B164" s="7">
        <f>Data!B164</f>
        <v>3</v>
      </c>
      <c r="C164" s="9">
        <f t="shared" si="2"/>
        <v>39.76720303861849</v>
      </c>
      <c r="D164" s="12"/>
    </row>
    <row r="165" spans="1:4" hidden="1" x14ac:dyDescent="0.25">
      <c r="A165" s="6">
        <f>Data!A165</f>
        <v>44.228703274208641</v>
      </c>
      <c r="B165" s="7">
        <f>Data!B165</f>
        <v>1</v>
      </c>
      <c r="C165" s="9" t="str">
        <f t="shared" si="2"/>
        <v/>
      </c>
      <c r="D165" s="12"/>
    </row>
    <row r="166" spans="1:4" x14ac:dyDescent="0.25">
      <c r="A166" s="6">
        <f>Data!A166</f>
        <v>42.914644149899829</v>
      </c>
      <c r="B166" s="7">
        <f>Data!B166</f>
        <v>3</v>
      </c>
      <c r="C166" s="9">
        <f t="shared" si="2"/>
        <v>42.914644149899829</v>
      </c>
      <c r="D166" s="12"/>
    </row>
    <row r="167" spans="1:4" hidden="1" x14ac:dyDescent="0.25">
      <c r="A167" s="6">
        <f>Data!A167</f>
        <v>50.181466524471972</v>
      </c>
      <c r="B167" s="7">
        <f>Data!B167</f>
        <v>2</v>
      </c>
      <c r="C167" s="9" t="str">
        <f t="shared" si="2"/>
        <v/>
      </c>
      <c r="D167" s="12"/>
    </row>
    <row r="168" spans="1:4" hidden="1" x14ac:dyDescent="0.25">
      <c r="A168" s="6">
        <f>Data!A168</f>
        <v>42.52297321450348</v>
      </c>
      <c r="B168" s="7">
        <f>Data!B168</f>
        <v>1</v>
      </c>
      <c r="C168" s="9" t="str">
        <f t="shared" si="2"/>
        <v/>
      </c>
      <c r="D168" s="12"/>
    </row>
    <row r="169" spans="1:4" hidden="1" x14ac:dyDescent="0.25">
      <c r="A169" s="6">
        <f>Data!A169</f>
        <v>45.678435594434028</v>
      </c>
      <c r="B169" s="7">
        <f>Data!B169</f>
        <v>4</v>
      </c>
      <c r="C169" s="9" t="str">
        <f t="shared" si="2"/>
        <v/>
      </c>
      <c r="D169" s="12"/>
    </row>
    <row r="170" spans="1:4" hidden="1" x14ac:dyDescent="0.25">
      <c r="A170" s="6">
        <f>Data!A170</f>
        <v>51.712059563567308</v>
      </c>
      <c r="B170" s="7">
        <f>Data!B170</f>
        <v>4</v>
      </c>
      <c r="C170" s="9" t="str">
        <f t="shared" si="2"/>
        <v/>
      </c>
      <c r="D170" s="12"/>
    </row>
    <row r="171" spans="1:4" hidden="1" x14ac:dyDescent="0.25">
      <c r="A171" s="6">
        <f>Data!A171</f>
        <v>46.696614804525957</v>
      </c>
      <c r="B171" s="7">
        <f>Data!B171</f>
        <v>2</v>
      </c>
      <c r="C171" s="9" t="str">
        <f t="shared" si="2"/>
        <v/>
      </c>
      <c r="D171" s="12"/>
    </row>
    <row r="172" spans="1:4" hidden="1" x14ac:dyDescent="0.25">
      <c r="A172" s="6">
        <f>Data!A172</f>
        <v>53.062941471738156</v>
      </c>
      <c r="B172" s="7">
        <f>Data!B172</f>
        <v>2</v>
      </c>
      <c r="C172" s="9" t="str">
        <f t="shared" si="2"/>
        <v/>
      </c>
      <c r="D172" s="12"/>
    </row>
    <row r="173" spans="1:4" hidden="1" x14ac:dyDescent="0.25">
      <c r="A173" s="6">
        <f>Data!A173</f>
        <v>39.883497832335543</v>
      </c>
      <c r="B173" s="7">
        <f>Data!B173</f>
        <v>2</v>
      </c>
      <c r="C173" s="9" t="str">
        <f t="shared" si="2"/>
        <v/>
      </c>
      <c r="D173" s="12"/>
    </row>
    <row r="174" spans="1:4" hidden="1" x14ac:dyDescent="0.25">
      <c r="A174" s="6">
        <f>Data!A174</f>
        <v>46.573846445781506</v>
      </c>
      <c r="B174" s="7">
        <f>Data!B174</f>
        <v>4</v>
      </c>
      <c r="C174" s="9" t="str">
        <f t="shared" si="2"/>
        <v/>
      </c>
      <c r="D174" s="12"/>
    </row>
    <row r="175" spans="1:4" hidden="1" x14ac:dyDescent="0.25">
      <c r="A175" s="6">
        <f>Data!A175</f>
        <v>46.21161443825342</v>
      </c>
      <c r="B175" s="7">
        <f>Data!B175</f>
        <v>1</v>
      </c>
      <c r="C175" s="9" t="str">
        <f t="shared" si="2"/>
        <v/>
      </c>
      <c r="D175" s="12"/>
    </row>
    <row r="176" spans="1:4" hidden="1" x14ac:dyDescent="0.25">
      <c r="A176" s="6">
        <f>Data!A176</f>
        <v>42.80145376949055</v>
      </c>
      <c r="B176" s="7">
        <f>Data!B176</f>
        <v>4</v>
      </c>
      <c r="C176" s="9" t="str">
        <f t="shared" si="2"/>
        <v/>
      </c>
      <c r="D176" s="12"/>
    </row>
    <row r="177" spans="1:4" x14ac:dyDescent="0.25">
      <c r="A177" s="6">
        <f>Data!A177</f>
        <v>44.209556621708998</v>
      </c>
      <c r="B177" s="7">
        <f>Data!B177</f>
        <v>3</v>
      </c>
      <c r="C177" s="9">
        <f t="shared" si="2"/>
        <v>44.209556621708998</v>
      </c>
      <c r="D177" s="12"/>
    </row>
    <row r="178" spans="1:4" hidden="1" x14ac:dyDescent="0.25">
      <c r="A178" s="6">
        <f>Data!A178</f>
        <v>36.880310817916438</v>
      </c>
      <c r="B178" s="7">
        <f>Data!B178</f>
        <v>2</v>
      </c>
      <c r="C178" s="9" t="str">
        <f t="shared" si="2"/>
        <v/>
      </c>
      <c r="D178" s="12"/>
    </row>
    <row r="179" spans="1:4" hidden="1" x14ac:dyDescent="0.25">
      <c r="A179" s="6">
        <f>Data!A179</f>
        <v>46.516199447639963</v>
      </c>
      <c r="B179" s="7">
        <f>Data!B179</f>
        <v>2</v>
      </c>
      <c r="C179" s="9" t="str">
        <f t="shared" si="2"/>
        <v/>
      </c>
      <c r="D179" s="12"/>
    </row>
    <row r="180" spans="1:4" x14ac:dyDescent="0.25">
      <c r="A180" s="6">
        <f>Data!A180</f>
        <v>46.790125417269266</v>
      </c>
      <c r="B180" s="7">
        <f>Data!B180</f>
        <v>3</v>
      </c>
      <c r="C180" s="9">
        <f t="shared" si="2"/>
        <v>46.790125417269266</v>
      </c>
      <c r="D180" s="12"/>
    </row>
    <row r="181" spans="1:4" x14ac:dyDescent="0.25">
      <c r="A181" s="6">
        <f>Data!A181</f>
        <v>46.538566937588406</v>
      </c>
      <c r="B181" s="7">
        <f>Data!B181</f>
        <v>3</v>
      </c>
      <c r="C181" s="9">
        <f t="shared" si="2"/>
        <v>46.538566937588406</v>
      </c>
      <c r="D181" s="12"/>
    </row>
    <row r="182" spans="1:4" hidden="1" x14ac:dyDescent="0.25">
      <c r="A182" s="6">
        <f>Data!A182</f>
        <v>47.377719403128346</v>
      </c>
      <c r="B182" s="7">
        <f>Data!B182</f>
        <v>2</v>
      </c>
      <c r="C182" s="9" t="str">
        <f t="shared" si="2"/>
        <v/>
      </c>
      <c r="D182" s="12"/>
    </row>
    <row r="183" spans="1:4" hidden="1" x14ac:dyDescent="0.25">
      <c r="A183" s="6">
        <f>Data!A183</f>
        <v>35.269111568196891</v>
      </c>
      <c r="B183" s="7">
        <f>Data!B183</f>
        <v>1</v>
      </c>
      <c r="C183" s="9" t="str">
        <f t="shared" si="2"/>
        <v/>
      </c>
      <c r="D183" s="12"/>
    </row>
    <row r="184" spans="1:4" x14ac:dyDescent="0.25">
      <c r="A184" s="6">
        <f>Data!A184</f>
        <v>46.027857729732588</v>
      </c>
      <c r="B184" s="7">
        <f>Data!B184</f>
        <v>3</v>
      </c>
      <c r="C184" s="9">
        <f t="shared" si="2"/>
        <v>46.027857729732588</v>
      </c>
      <c r="D184" s="12"/>
    </row>
    <row r="185" spans="1:4" hidden="1" x14ac:dyDescent="0.25">
      <c r="A185" s="6">
        <f>Data!A185</f>
        <v>50.239848247478996</v>
      </c>
      <c r="B185" s="7">
        <f>Data!B185</f>
        <v>1</v>
      </c>
      <c r="C185" s="9" t="str">
        <f t="shared" si="2"/>
        <v/>
      </c>
      <c r="D185" s="12"/>
    </row>
    <row r="186" spans="1:4" hidden="1" x14ac:dyDescent="0.25">
      <c r="A186" s="6">
        <f>Data!A186</f>
        <v>41.16511069620406</v>
      </c>
      <c r="B186" s="7">
        <f>Data!B186</f>
        <v>2</v>
      </c>
      <c r="C186" s="9" t="str">
        <f t="shared" si="2"/>
        <v/>
      </c>
      <c r="D186" s="12"/>
    </row>
    <row r="187" spans="1:4" hidden="1" x14ac:dyDescent="0.25">
      <c r="A187" s="6">
        <f>Data!A187</f>
        <v>42.24835425380423</v>
      </c>
      <c r="B187" s="7">
        <f>Data!B187</f>
        <v>1</v>
      </c>
      <c r="C187" s="9" t="str">
        <f t="shared" si="2"/>
        <v/>
      </c>
      <c r="D187" s="12"/>
    </row>
    <row r="188" spans="1:4" hidden="1" x14ac:dyDescent="0.25">
      <c r="A188" s="6">
        <f>Data!A188</f>
        <v>50.474189293941919</v>
      </c>
      <c r="B188" s="7">
        <f>Data!B188</f>
        <v>4</v>
      </c>
      <c r="C188" s="9" t="str">
        <f t="shared" si="2"/>
        <v/>
      </c>
      <c r="D188" s="12"/>
    </row>
    <row r="189" spans="1:4" hidden="1" x14ac:dyDescent="0.25">
      <c r="A189" s="6">
        <f>Data!A189</f>
        <v>42.846548517806575</v>
      </c>
      <c r="B189" s="7">
        <f>Data!B189</f>
        <v>4</v>
      </c>
      <c r="C189" s="9" t="str">
        <f t="shared" si="2"/>
        <v/>
      </c>
      <c r="D189" s="12"/>
    </row>
    <row r="190" spans="1:4" x14ac:dyDescent="0.25">
      <c r="A190" s="6">
        <f>Data!A190</f>
        <v>45.657086323394502</v>
      </c>
      <c r="B190" s="7">
        <f>Data!B190</f>
        <v>3</v>
      </c>
      <c r="C190" s="9">
        <f t="shared" si="2"/>
        <v>45.657086323394502</v>
      </c>
      <c r="D190" s="12"/>
    </row>
    <row r="191" spans="1:4" hidden="1" x14ac:dyDescent="0.25">
      <c r="A191" s="6">
        <f>Data!A191</f>
        <v>46.368754836693</v>
      </c>
      <c r="B191" s="7">
        <f>Data!B191</f>
        <v>2</v>
      </c>
      <c r="C191" s="9" t="str">
        <f t="shared" si="2"/>
        <v/>
      </c>
      <c r="D191" s="12"/>
    </row>
    <row r="192" spans="1:4" hidden="1" x14ac:dyDescent="0.25">
      <c r="A192" s="6">
        <f>Data!A192</f>
        <v>43.006832493391649</v>
      </c>
      <c r="B192" s="7">
        <f>Data!B192</f>
        <v>1</v>
      </c>
      <c r="C192" s="9" t="str">
        <f t="shared" si="2"/>
        <v/>
      </c>
      <c r="D192" s="12"/>
    </row>
    <row r="193" spans="1:4" x14ac:dyDescent="0.25">
      <c r="A193" s="6">
        <f>Data!A193</f>
        <v>49.414124848020514</v>
      </c>
      <c r="B193" s="7">
        <f>Data!B193</f>
        <v>3</v>
      </c>
      <c r="C193" s="9">
        <f t="shared" si="2"/>
        <v>49.414124848020514</v>
      </c>
      <c r="D193" s="12"/>
    </row>
    <row r="194" spans="1:4" x14ac:dyDescent="0.25">
      <c r="A194" s="6">
        <f>Data!A194</f>
        <v>46.875531260687637</v>
      </c>
      <c r="B194" s="7">
        <f>Data!B194</f>
        <v>3</v>
      </c>
      <c r="C194" s="9">
        <f t="shared" si="2"/>
        <v>46.875531260687637</v>
      </c>
      <c r="D194" s="12"/>
    </row>
    <row r="195" spans="1:4" x14ac:dyDescent="0.25">
      <c r="A195" s="6">
        <f>Data!A195</f>
        <v>47.989197408772938</v>
      </c>
      <c r="B195" s="7">
        <f>Data!B195</f>
        <v>3</v>
      </c>
      <c r="C195" s="9">
        <f t="shared" ref="C195:C251" si="3">IF(B195=$D$2,A195,"")</f>
        <v>47.989197408772938</v>
      </c>
      <c r="D195" s="12"/>
    </row>
    <row r="196" spans="1:4" hidden="1" x14ac:dyDescent="0.25">
      <c r="A196" s="6">
        <f>Data!A196</f>
        <v>39.699334354725508</v>
      </c>
      <c r="B196" s="7">
        <f>Data!B196</f>
        <v>4</v>
      </c>
      <c r="C196" s="9" t="str">
        <f t="shared" si="3"/>
        <v/>
      </c>
      <c r="D196" s="12"/>
    </row>
    <row r="197" spans="1:4" x14ac:dyDescent="0.25">
      <c r="A197" s="6">
        <f>Data!A197</f>
        <v>44.331878117802923</v>
      </c>
      <c r="B197" s="7">
        <f>Data!B197</f>
        <v>3</v>
      </c>
      <c r="C197" s="9">
        <f t="shared" si="3"/>
        <v>44.331878117802923</v>
      </c>
      <c r="D197" s="12"/>
    </row>
    <row r="198" spans="1:4" hidden="1" x14ac:dyDescent="0.25">
      <c r="A198" s="6">
        <f>Data!A198</f>
        <v>50.718886788037253</v>
      </c>
      <c r="B198" s="7">
        <f>Data!B198</f>
        <v>1</v>
      </c>
      <c r="C198" s="9" t="str">
        <f t="shared" si="3"/>
        <v/>
      </c>
      <c r="D198" s="12"/>
    </row>
    <row r="199" spans="1:4" hidden="1" x14ac:dyDescent="0.25">
      <c r="A199" s="6">
        <f>Data!A199</f>
        <v>42.133133460945203</v>
      </c>
      <c r="B199" s="7">
        <f>Data!B199</f>
        <v>1</v>
      </c>
      <c r="C199" s="9" t="str">
        <f t="shared" si="3"/>
        <v/>
      </c>
      <c r="D199" s="12"/>
    </row>
    <row r="200" spans="1:4" hidden="1" x14ac:dyDescent="0.25">
      <c r="A200" s="6">
        <f>Data!A200</f>
        <v>45.488249298776218</v>
      </c>
      <c r="B200" s="7">
        <f>Data!B200</f>
        <v>1</v>
      </c>
      <c r="C200" s="9" t="str">
        <f t="shared" si="3"/>
        <v/>
      </c>
      <c r="D200" s="12"/>
    </row>
    <row r="201" spans="1:4" hidden="1" x14ac:dyDescent="0.25">
      <c r="A201" s="6">
        <f>Data!A201</f>
        <v>44.230427022211757</v>
      </c>
      <c r="B201" s="7">
        <f>Data!B201</f>
        <v>1</v>
      </c>
      <c r="C201" s="9" t="str">
        <f t="shared" si="3"/>
        <v/>
      </c>
      <c r="D201" s="12"/>
    </row>
    <row r="202" spans="1:4" hidden="1" x14ac:dyDescent="0.25">
      <c r="A202" s="6">
        <f>Data!A202</f>
        <v>45.044282674671059</v>
      </c>
      <c r="B202" s="7">
        <f>Data!B202</f>
        <v>1</v>
      </c>
      <c r="C202" s="9" t="str">
        <f t="shared" si="3"/>
        <v/>
      </c>
      <c r="D202" s="12"/>
    </row>
    <row r="203" spans="1:4" hidden="1" x14ac:dyDescent="0.25">
      <c r="A203" s="6">
        <f>Data!A203</f>
        <v>47.873671023346617</v>
      </c>
      <c r="B203" s="7">
        <f>Data!B203</f>
        <v>4</v>
      </c>
      <c r="C203" s="9" t="str">
        <f t="shared" si="3"/>
        <v/>
      </c>
      <c r="D203" s="12"/>
    </row>
    <row r="204" spans="1:4" hidden="1" x14ac:dyDescent="0.25">
      <c r="A204" s="6">
        <f>Data!A204</f>
        <v>48.864458317440118</v>
      </c>
      <c r="B204" s="7">
        <f>Data!B204</f>
        <v>4</v>
      </c>
      <c r="C204" s="9" t="str">
        <f t="shared" si="3"/>
        <v/>
      </c>
      <c r="D204" s="12"/>
    </row>
    <row r="205" spans="1:4" hidden="1" x14ac:dyDescent="0.25">
      <c r="A205" s="6">
        <f>Data!A205</f>
        <v>44.926014051928064</v>
      </c>
      <c r="B205" s="7">
        <f>Data!B205</f>
        <v>4</v>
      </c>
      <c r="C205" s="9" t="str">
        <f t="shared" si="3"/>
        <v/>
      </c>
      <c r="D205" s="12"/>
    </row>
    <row r="206" spans="1:4" hidden="1" x14ac:dyDescent="0.25">
      <c r="A206" s="6">
        <f>Data!A206</f>
        <v>43.039269687906817</v>
      </c>
      <c r="B206" s="7">
        <f>Data!B206</f>
        <v>2</v>
      </c>
      <c r="C206" s="9" t="str">
        <f t="shared" si="3"/>
        <v/>
      </c>
      <c r="D206" s="12"/>
    </row>
    <row r="207" spans="1:4" hidden="1" x14ac:dyDescent="0.25">
      <c r="A207" s="6">
        <f>Data!A207</f>
        <v>42.505219556211252</v>
      </c>
      <c r="B207" s="7">
        <f>Data!B207</f>
        <v>4</v>
      </c>
      <c r="C207" s="9" t="str">
        <f t="shared" si="3"/>
        <v/>
      </c>
      <c r="D207" s="12"/>
    </row>
    <row r="208" spans="1:4" hidden="1" x14ac:dyDescent="0.25">
      <c r="A208" s="6">
        <f>Data!A208</f>
        <v>46.929627249201303</v>
      </c>
      <c r="B208" s="7">
        <f>Data!B208</f>
        <v>4</v>
      </c>
      <c r="C208" s="9" t="str">
        <f t="shared" si="3"/>
        <v/>
      </c>
      <c r="D208" s="12"/>
    </row>
    <row r="209" spans="1:4" hidden="1" x14ac:dyDescent="0.25">
      <c r="A209" s="6">
        <f>Data!A209</f>
        <v>44.359675923914274</v>
      </c>
      <c r="B209" s="7">
        <f>Data!B209</f>
        <v>1</v>
      </c>
      <c r="C209" s="9" t="str">
        <f t="shared" si="3"/>
        <v/>
      </c>
      <c r="D209" s="12"/>
    </row>
    <row r="210" spans="1:4" hidden="1" x14ac:dyDescent="0.25">
      <c r="A210" s="6">
        <f>Data!A210</f>
        <v>48.528251570733104</v>
      </c>
      <c r="B210" s="7">
        <f>Data!B210</f>
        <v>4</v>
      </c>
      <c r="C210" s="9" t="str">
        <f t="shared" si="3"/>
        <v/>
      </c>
      <c r="D210" s="12"/>
    </row>
    <row r="211" spans="1:4" x14ac:dyDescent="0.25">
      <c r="A211" s="6">
        <f>Data!A211</f>
        <v>43.24515598653003</v>
      </c>
      <c r="B211" s="7">
        <f>Data!B211</f>
        <v>3</v>
      </c>
      <c r="C211" s="9">
        <f t="shared" si="3"/>
        <v>43.24515598653003</v>
      </c>
      <c r="D211" s="12"/>
    </row>
    <row r="212" spans="1:4" hidden="1" x14ac:dyDescent="0.25">
      <c r="A212" s="6">
        <f>Data!A212</f>
        <v>48.51963488743479</v>
      </c>
      <c r="B212" s="7">
        <f>Data!B212</f>
        <v>1</v>
      </c>
      <c r="C212" s="9" t="str">
        <f t="shared" si="3"/>
        <v/>
      </c>
      <c r="D212" s="12"/>
    </row>
    <row r="213" spans="1:4" hidden="1" x14ac:dyDescent="0.25">
      <c r="A213" s="6">
        <f>Data!A213</f>
        <v>48.563856032012922</v>
      </c>
      <c r="B213" s="7">
        <f>Data!B213</f>
        <v>1</v>
      </c>
      <c r="C213" s="9" t="str">
        <f t="shared" si="3"/>
        <v/>
      </c>
      <c r="D213" s="12"/>
    </row>
    <row r="214" spans="1:4" hidden="1" x14ac:dyDescent="0.25">
      <c r="A214" s="6">
        <f>Data!A214</f>
        <v>46.806466597568814</v>
      </c>
      <c r="B214" s="7">
        <f>Data!B214</f>
        <v>2</v>
      </c>
      <c r="C214" s="9" t="str">
        <f t="shared" si="3"/>
        <v/>
      </c>
      <c r="D214" s="12"/>
    </row>
    <row r="215" spans="1:4" hidden="1" x14ac:dyDescent="0.25">
      <c r="A215" s="6">
        <f>Data!A215</f>
        <v>44.543215284659873</v>
      </c>
      <c r="B215" s="7">
        <f>Data!B215</f>
        <v>1</v>
      </c>
      <c r="C215" s="9" t="str">
        <f t="shared" si="3"/>
        <v/>
      </c>
      <c r="D215" s="12"/>
    </row>
    <row r="216" spans="1:4" hidden="1" x14ac:dyDescent="0.25">
      <c r="A216" s="6">
        <f>Data!A216</f>
        <v>51.815588898891363</v>
      </c>
      <c r="B216" s="7">
        <f>Data!B216</f>
        <v>1</v>
      </c>
      <c r="C216" s="9" t="str">
        <f t="shared" si="3"/>
        <v/>
      </c>
      <c r="D216" s="12"/>
    </row>
    <row r="217" spans="1:4" hidden="1" x14ac:dyDescent="0.25">
      <c r="A217" s="6">
        <f>Data!A217</f>
        <v>38.811823441892798</v>
      </c>
      <c r="B217" s="7">
        <f>Data!B217</f>
        <v>2</v>
      </c>
      <c r="C217" s="9" t="str">
        <f t="shared" si="3"/>
        <v/>
      </c>
      <c r="D217" s="12"/>
    </row>
    <row r="218" spans="1:4" x14ac:dyDescent="0.25">
      <c r="A218" s="6">
        <f>Data!A218</f>
        <v>47.725229069836317</v>
      </c>
      <c r="B218" s="7">
        <f>Data!B218</f>
        <v>3</v>
      </c>
      <c r="C218" s="9">
        <f t="shared" si="3"/>
        <v>47.725229069836317</v>
      </c>
      <c r="D218" s="12"/>
    </row>
    <row r="219" spans="1:4" hidden="1" x14ac:dyDescent="0.25">
      <c r="A219" s="6">
        <f>Data!A219</f>
        <v>43.835887201513422</v>
      </c>
      <c r="B219" s="7">
        <f>Data!B219</f>
        <v>4</v>
      </c>
      <c r="C219" s="9" t="str">
        <f t="shared" si="3"/>
        <v/>
      </c>
      <c r="D219" s="12"/>
    </row>
    <row r="220" spans="1:4" hidden="1" x14ac:dyDescent="0.25">
      <c r="A220" s="6">
        <f>Data!A220</f>
        <v>45.952260650448551</v>
      </c>
      <c r="B220" s="7">
        <f>Data!B220</f>
        <v>4</v>
      </c>
      <c r="C220" s="9" t="str">
        <f t="shared" si="3"/>
        <v/>
      </c>
      <c r="D220" s="12"/>
    </row>
    <row r="221" spans="1:4" hidden="1" x14ac:dyDescent="0.25">
      <c r="A221" s="6">
        <f>Data!A221</f>
        <v>40.886223215896671</v>
      </c>
      <c r="B221" s="7">
        <f>Data!B221</f>
        <v>2</v>
      </c>
      <c r="C221" s="9" t="str">
        <f t="shared" si="3"/>
        <v/>
      </c>
      <c r="D221" s="12"/>
    </row>
    <row r="222" spans="1:4" hidden="1" x14ac:dyDescent="0.25">
      <c r="A222" s="6">
        <f>Data!A222</f>
        <v>47.247355083640912</v>
      </c>
      <c r="B222" s="7">
        <f>Data!B222</f>
        <v>2</v>
      </c>
      <c r="C222" s="9" t="str">
        <f t="shared" si="3"/>
        <v/>
      </c>
      <c r="D222" s="12"/>
    </row>
    <row r="223" spans="1:4" hidden="1" x14ac:dyDescent="0.25">
      <c r="A223" s="6">
        <f>Data!A223</f>
        <v>37.655894254273015</v>
      </c>
      <c r="B223" s="7">
        <f>Data!B223</f>
        <v>1</v>
      </c>
      <c r="C223" s="9" t="str">
        <f t="shared" si="3"/>
        <v/>
      </c>
      <c r="D223" s="12"/>
    </row>
    <row r="224" spans="1:4" hidden="1" x14ac:dyDescent="0.25">
      <c r="A224" s="6">
        <f>Data!A224</f>
        <v>45.76482095530173</v>
      </c>
      <c r="B224" s="7">
        <f>Data!B224</f>
        <v>2</v>
      </c>
      <c r="C224" s="9" t="str">
        <f t="shared" si="3"/>
        <v/>
      </c>
      <c r="D224" s="12"/>
    </row>
    <row r="225" spans="1:4" hidden="1" x14ac:dyDescent="0.25">
      <c r="A225" s="6">
        <f>Data!A225</f>
        <v>44.704230917480096</v>
      </c>
      <c r="B225" s="7">
        <f>Data!B225</f>
        <v>1</v>
      </c>
      <c r="C225" s="9" t="str">
        <f t="shared" si="3"/>
        <v/>
      </c>
      <c r="D225" s="12"/>
    </row>
    <row r="226" spans="1:4" hidden="1" x14ac:dyDescent="0.25">
      <c r="A226" s="6">
        <f>Data!A226</f>
        <v>45.890951438216547</v>
      </c>
      <c r="B226" s="7">
        <f>Data!B226</f>
        <v>2</v>
      </c>
      <c r="C226" s="9" t="str">
        <f t="shared" si="3"/>
        <v/>
      </c>
      <c r="D226" s="12"/>
    </row>
    <row r="227" spans="1:4" hidden="1" x14ac:dyDescent="0.25">
      <c r="A227" s="6">
        <f>Data!A227</f>
        <v>41.866177646826664</v>
      </c>
      <c r="B227" s="7">
        <f>Data!B227</f>
        <v>1</v>
      </c>
      <c r="C227" s="9" t="str">
        <f t="shared" si="3"/>
        <v/>
      </c>
      <c r="D227" s="12"/>
    </row>
    <row r="228" spans="1:4" x14ac:dyDescent="0.25">
      <c r="A228" s="6">
        <f>Data!A228</f>
        <v>45.283528433012705</v>
      </c>
      <c r="B228" s="7">
        <f>Data!B228</f>
        <v>3</v>
      </c>
      <c r="C228" s="9">
        <f t="shared" si="3"/>
        <v>45.283528433012705</v>
      </c>
      <c r="D228" s="12"/>
    </row>
    <row r="229" spans="1:4" hidden="1" x14ac:dyDescent="0.25">
      <c r="A229" s="6">
        <f>Data!A229</f>
        <v>43.513649445562891</v>
      </c>
      <c r="B229" s="7">
        <f>Data!B229</f>
        <v>2</v>
      </c>
      <c r="C229" s="9" t="str">
        <f t="shared" si="3"/>
        <v/>
      </c>
      <c r="D229" s="12"/>
    </row>
    <row r="230" spans="1:4" hidden="1" x14ac:dyDescent="0.25">
      <c r="A230" s="6">
        <f>Data!A230</f>
        <v>43.886192875506104</v>
      </c>
      <c r="B230" s="7">
        <f>Data!B230</f>
        <v>2</v>
      </c>
      <c r="C230" s="9" t="str">
        <f t="shared" si="3"/>
        <v/>
      </c>
      <c r="D230" s="12"/>
    </row>
    <row r="231" spans="1:4" x14ac:dyDescent="0.25">
      <c r="A231" s="6">
        <f>Data!A231</f>
        <v>48.516219528287102</v>
      </c>
      <c r="B231" s="7">
        <f>Data!B231</f>
        <v>3</v>
      </c>
      <c r="C231" s="9">
        <f t="shared" si="3"/>
        <v>48.516219528287102</v>
      </c>
      <c r="D231" s="12"/>
    </row>
    <row r="232" spans="1:4" x14ac:dyDescent="0.25">
      <c r="A232" s="6">
        <f>Data!A232</f>
        <v>48.742509982045753</v>
      </c>
      <c r="B232" s="7">
        <f>Data!B232</f>
        <v>3</v>
      </c>
      <c r="C232" s="9">
        <f t="shared" si="3"/>
        <v>48.742509982045753</v>
      </c>
      <c r="D232" s="12"/>
    </row>
    <row r="233" spans="1:4" hidden="1" x14ac:dyDescent="0.25">
      <c r="A233" s="6">
        <f>Data!A233</f>
        <v>42.246513235610649</v>
      </c>
      <c r="B233" s="7">
        <f>Data!B233</f>
        <v>2</v>
      </c>
      <c r="C233" s="9" t="str">
        <f t="shared" si="3"/>
        <v/>
      </c>
      <c r="D233" s="12"/>
    </row>
    <row r="234" spans="1:4" hidden="1" x14ac:dyDescent="0.25">
      <c r="A234" s="6">
        <f>Data!A234</f>
        <v>49.500650527796296</v>
      </c>
      <c r="B234" s="7">
        <f>Data!B234</f>
        <v>4</v>
      </c>
      <c r="C234" s="9" t="str">
        <f t="shared" si="3"/>
        <v/>
      </c>
      <c r="D234" s="12"/>
    </row>
    <row r="235" spans="1:4" hidden="1" x14ac:dyDescent="0.25">
      <c r="A235" s="6">
        <f>Data!A235</f>
        <v>47.295221980570368</v>
      </c>
      <c r="B235" s="7">
        <f>Data!B235</f>
        <v>1</v>
      </c>
      <c r="C235" s="9" t="str">
        <f t="shared" si="3"/>
        <v/>
      </c>
      <c r="D235" s="12"/>
    </row>
    <row r="236" spans="1:4" x14ac:dyDescent="0.25">
      <c r="A236" s="6">
        <f>Data!A236</f>
        <v>39.342278746106629</v>
      </c>
      <c r="B236" s="7">
        <f>Data!B236</f>
        <v>3</v>
      </c>
      <c r="C236" s="9">
        <f t="shared" si="3"/>
        <v>39.342278746106629</v>
      </c>
      <c r="D236" s="12"/>
    </row>
    <row r="237" spans="1:4" x14ac:dyDescent="0.25">
      <c r="A237" s="6">
        <f>Data!A237</f>
        <v>46.88366606377685</v>
      </c>
      <c r="B237" s="7">
        <f>Data!B237</f>
        <v>3</v>
      </c>
      <c r="C237" s="9">
        <f t="shared" si="3"/>
        <v>46.88366606377685</v>
      </c>
      <c r="D237" s="12"/>
    </row>
    <row r="238" spans="1:4" hidden="1" x14ac:dyDescent="0.25">
      <c r="A238" s="6">
        <f>Data!A238</f>
        <v>43.238880907730149</v>
      </c>
      <c r="B238" s="7">
        <f>Data!B238</f>
        <v>1</v>
      </c>
      <c r="C238" s="9" t="str">
        <f t="shared" si="3"/>
        <v/>
      </c>
      <c r="D238" s="12"/>
    </row>
    <row r="239" spans="1:4" x14ac:dyDescent="0.25">
      <c r="A239" s="6">
        <f>Data!A239</f>
        <v>47.930686199586944</v>
      </c>
      <c r="B239" s="7">
        <f>Data!B239</f>
        <v>3</v>
      </c>
      <c r="C239" s="9">
        <f t="shared" si="3"/>
        <v>47.930686199586944</v>
      </c>
      <c r="D239" s="12"/>
    </row>
    <row r="240" spans="1:4" hidden="1" x14ac:dyDescent="0.25">
      <c r="A240" s="6">
        <f>Data!A240</f>
        <v>46.842324372296375</v>
      </c>
      <c r="B240" s="7">
        <f>Data!B240</f>
        <v>2</v>
      </c>
      <c r="C240" s="9" t="str">
        <f t="shared" si="3"/>
        <v/>
      </c>
      <c r="D240" s="12"/>
    </row>
    <row r="241" spans="1:4" x14ac:dyDescent="0.25">
      <c r="A241" s="6">
        <f>Data!A241</f>
        <v>45.890678414512948</v>
      </c>
      <c r="B241" s="7">
        <f>Data!B241</f>
        <v>3</v>
      </c>
      <c r="C241" s="9">
        <f t="shared" si="3"/>
        <v>45.890678414512948</v>
      </c>
      <c r="D241" s="12"/>
    </row>
    <row r="242" spans="1:4" x14ac:dyDescent="0.25">
      <c r="A242" s="6">
        <f>Data!A242</f>
        <v>43.495487201189221</v>
      </c>
      <c r="B242" s="7">
        <f>Data!B242</f>
        <v>3</v>
      </c>
      <c r="C242" s="9">
        <f t="shared" si="3"/>
        <v>43.495487201189221</v>
      </c>
      <c r="D242" s="12"/>
    </row>
    <row r="243" spans="1:4" hidden="1" x14ac:dyDescent="0.25">
      <c r="A243" s="6">
        <f>Data!A243</f>
        <v>46.493308686362802</v>
      </c>
      <c r="B243" s="7">
        <f>Data!B243</f>
        <v>4</v>
      </c>
      <c r="C243" s="9" t="str">
        <f t="shared" si="3"/>
        <v/>
      </c>
      <c r="D243" s="12"/>
    </row>
    <row r="244" spans="1:4" hidden="1" x14ac:dyDescent="0.25">
      <c r="A244" s="6">
        <f>Data!A244</f>
        <v>49.478232659240319</v>
      </c>
      <c r="B244" s="7">
        <f>Data!B244</f>
        <v>1</v>
      </c>
      <c r="C244" s="9" t="str">
        <f t="shared" si="3"/>
        <v/>
      </c>
      <c r="D244" s="12"/>
    </row>
    <row r="245" spans="1:4" hidden="1" x14ac:dyDescent="0.25">
      <c r="A245" s="6">
        <f>Data!A245</f>
        <v>45.525927928143297</v>
      </c>
      <c r="B245" s="7">
        <f>Data!B245</f>
        <v>2</v>
      </c>
      <c r="C245" s="9" t="str">
        <f t="shared" si="3"/>
        <v/>
      </c>
      <c r="D245" s="12"/>
    </row>
    <row r="246" spans="1:4" x14ac:dyDescent="0.25">
      <c r="A246" s="6">
        <f>Data!A246</f>
        <v>48.434391710392681</v>
      </c>
      <c r="B246" s="7">
        <f>Data!B246</f>
        <v>3</v>
      </c>
      <c r="C246" s="9">
        <f t="shared" si="3"/>
        <v>48.434391710392681</v>
      </c>
      <c r="D246" s="12"/>
    </row>
    <row r="247" spans="1:4" hidden="1" x14ac:dyDescent="0.25">
      <c r="A247" s="6">
        <f>Data!A247</f>
        <v>53.352329525316904</v>
      </c>
      <c r="B247" s="7">
        <f>Data!B247</f>
        <v>2</v>
      </c>
      <c r="C247" s="9" t="str">
        <f t="shared" si="3"/>
        <v/>
      </c>
      <c r="D247" s="12"/>
    </row>
    <row r="248" spans="1:4" hidden="1" x14ac:dyDescent="0.25">
      <c r="A248" s="6">
        <f>Data!A248</f>
        <v>44.707679670816198</v>
      </c>
      <c r="B248" s="7">
        <f>Data!B248</f>
        <v>1</v>
      </c>
      <c r="C248" s="9" t="str">
        <f t="shared" si="3"/>
        <v/>
      </c>
      <c r="D248" s="12"/>
    </row>
    <row r="249" spans="1:4" hidden="1" x14ac:dyDescent="0.25">
      <c r="A249" s="6">
        <f>Data!A249</f>
        <v>40.488360462497496</v>
      </c>
      <c r="B249" s="7">
        <f>Data!B249</f>
        <v>4</v>
      </c>
      <c r="C249" s="9" t="str">
        <f t="shared" si="3"/>
        <v/>
      </c>
      <c r="D249" s="12"/>
    </row>
    <row r="250" spans="1:4" hidden="1" x14ac:dyDescent="0.25">
      <c r="A250" s="6">
        <f>Data!A250</f>
        <v>39.284798658068688</v>
      </c>
      <c r="B250" s="7">
        <f>Data!B250</f>
        <v>1</v>
      </c>
      <c r="C250" s="9" t="str">
        <f t="shared" si="3"/>
        <v/>
      </c>
      <c r="D250" s="12"/>
    </row>
    <row r="251" spans="1:4" hidden="1" x14ac:dyDescent="0.25">
      <c r="A251" s="6">
        <f>Data!A251</f>
        <v>38.581716773612762</v>
      </c>
      <c r="B251" s="7">
        <f>Data!B251</f>
        <v>4</v>
      </c>
      <c r="C251" s="9" t="str">
        <f t="shared" si="3"/>
        <v/>
      </c>
      <c r="D251" s="12"/>
    </row>
  </sheetData>
  <autoFilter ref="A1:D251" xr:uid="{FDDAC61A-0AD3-4530-AD78-D14A3507CCA0}">
    <filterColumn colId="1">
      <filters>
        <filter val="3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55F6-F94B-480E-AA06-8973D0D015D2}">
  <dimension ref="A1:L19"/>
  <sheetViews>
    <sheetView showGridLines="0" tabSelected="1" topLeftCell="A2" zoomScaleNormal="100" workbookViewId="0">
      <selection activeCell="B14" sqref="B14"/>
    </sheetView>
  </sheetViews>
  <sheetFormatPr defaultRowHeight="15" x14ac:dyDescent="0.25"/>
  <cols>
    <col min="1" max="1" width="24.140625" customWidth="1"/>
    <col min="3" max="3" width="7.28515625" customWidth="1"/>
  </cols>
  <sheetData>
    <row r="1" spans="1:12" ht="21" thickTop="1" thickBot="1" x14ac:dyDescent="0.3">
      <c r="A1" s="3" t="s">
        <v>12</v>
      </c>
      <c r="B1" s="3" t="s">
        <v>11</v>
      </c>
      <c r="K1" s="13"/>
    </row>
    <row r="2" spans="1:12" ht="32.25" customHeight="1" thickTop="1" x14ac:dyDescent="0.25">
      <c r="A2" s="25" t="s">
        <v>39</v>
      </c>
      <c r="B2" s="26">
        <f>_xlfn.STDEV.S(Sample!C2:C251)</f>
        <v>4.0628768307148233</v>
      </c>
      <c r="D2" s="41" t="s">
        <v>44</v>
      </c>
      <c r="E2" s="42"/>
      <c r="F2" s="42"/>
      <c r="G2" s="42"/>
      <c r="H2" s="42"/>
      <c r="I2" s="42"/>
      <c r="J2" s="42"/>
      <c r="K2" s="43"/>
    </row>
    <row r="3" spans="1:12" ht="30" customHeight="1" x14ac:dyDescent="0.25">
      <c r="A3" s="25" t="s">
        <v>10</v>
      </c>
      <c r="B3" s="25">
        <f>COUNT(Sample!C2:C251)</f>
        <v>54</v>
      </c>
      <c r="D3" s="53" t="s">
        <v>41</v>
      </c>
      <c r="E3" s="54"/>
      <c r="F3" s="54"/>
      <c r="G3" s="54"/>
      <c r="H3" s="54"/>
      <c r="I3" s="54"/>
      <c r="J3" s="54"/>
      <c r="K3" s="55"/>
    </row>
    <row r="4" spans="1:12" ht="33.75" customHeight="1" x14ac:dyDescent="0.25">
      <c r="A4" s="14" t="s">
        <v>37</v>
      </c>
      <c r="B4" s="15">
        <f>AVERAGE(Sample!C2:C251)</f>
        <v>44.115488441270877</v>
      </c>
      <c r="D4" s="53" t="s">
        <v>42</v>
      </c>
      <c r="E4" s="54"/>
      <c r="F4" s="54"/>
      <c r="G4" s="54"/>
      <c r="H4" s="54"/>
      <c r="I4" s="54"/>
      <c r="J4" s="54"/>
      <c r="K4" s="55"/>
    </row>
    <row r="5" spans="1:12" ht="27.75" customHeight="1" x14ac:dyDescent="0.25">
      <c r="A5" s="14" t="s">
        <v>34</v>
      </c>
      <c r="B5" s="15">
        <f>_xlfn.VAR.P(Sample!A2:A251)</f>
        <v>14.681920908129818</v>
      </c>
      <c r="D5" s="53" t="s">
        <v>35</v>
      </c>
      <c r="E5" s="54"/>
      <c r="F5" s="54"/>
      <c r="G5" s="54"/>
      <c r="H5" s="54"/>
      <c r="I5" s="54"/>
      <c r="J5" s="54"/>
      <c r="K5" s="55"/>
    </row>
    <row r="6" spans="1:12" ht="30.75" customHeight="1" x14ac:dyDescent="0.25">
      <c r="A6" s="14" t="s">
        <v>40</v>
      </c>
      <c r="B6" s="15">
        <f>SQRT(B5)</f>
        <v>3.8316994804042004</v>
      </c>
      <c r="C6" s="29">
        <f>_xlfn.STDEV.P(Sample!A2:A251)</f>
        <v>3.8316994804042004</v>
      </c>
      <c r="D6" s="53" t="s">
        <v>43</v>
      </c>
      <c r="E6" s="54"/>
      <c r="F6" s="54"/>
      <c r="G6" s="54"/>
      <c r="H6" s="54"/>
      <c r="I6" s="54"/>
      <c r="J6" s="54"/>
      <c r="K6" s="55"/>
      <c r="L6" s="18"/>
    </row>
    <row r="7" spans="1:12" x14ac:dyDescent="0.25">
      <c r="A7" s="14" t="s">
        <v>13</v>
      </c>
      <c r="B7" s="15">
        <f>B6/SQRT(B3)</f>
        <v>0.52142825414876226</v>
      </c>
      <c r="D7" s="56" t="s">
        <v>20</v>
      </c>
      <c r="E7" s="57"/>
      <c r="F7" s="57"/>
      <c r="G7" s="57"/>
      <c r="H7" s="57"/>
      <c r="I7" s="57"/>
      <c r="J7" s="57"/>
      <c r="K7" s="58"/>
    </row>
    <row r="8" spans="1:12" x14ac:dyDescent="0.25">
      <c r="A8" s="14" t="s">
        <v>36</v>
      </c>
      <c r="B8" s="15">
        <f>AVERAGE(Sample!A2:A251)</f>
        <v>44.818943506488559</v>
      </c>
      <c r="D8" s="16"/>
      <c r="E8" s="16"/>
      <c r="F8" s="16"/>
      <c r="G8" s="16"/>
      <c r="H8" s="16"/>
      <c r="I8" s="16"/>
      <c r="J8" s="16"/>
      <c r="K8" s="16"/>
    </row>
    <row r="9" spans="1:12" x14ac:dyDescent="0.25">
      <c r="A9" s="14" t="s">
        <v>18</v>
      </c>
      <c r="B9" s="14">
        <v>0.95</v>
      </c>
      <c r="D9" s="44" t="s">
        <v>19</v>
      </c>
      <c r="E9" s="45"/>
      <c r="F9" s="45"/>
      <c r="G9" s="45"/>
      <c r="H9" s="45"/>
      <c r="I9" s="45"/>
      <c r="J9" s="45"/>
      <c r="K9" s="46"/>
    </row>
    <row r="10" spans="1:12" x14ac:dyDescent="0.25">
      <c r="A10" s="14" t="s">
        <v>14</v>
      </c>
      <c r="B10" s="14">
        <v>0.05</v>
      </c>
      <c r="D10" s="47"/>
      <c r="E10" s="48"/>
      <c r="F10" s="48"/>
      <c r="G10" s="48"/>
      <c r="H10" s="48"/>
      <c r="I10" s="48"/>
      <c r="J10" s="48"/>
      <c r="K10" s="49"/>
    </row>
    <row r="11" spans="1:12" x14ac:dyDescent="0.25">
      <c r="A11" s="14" t="s">
        <v>15</v>
      </c>
      <c r="B11" s="15">
        <f>_xlfn.NORM.S.INV(1-B10/2)</f>
        <v>1.9599639845400536</v>
      </c>
      <c r="D11" s="50"/>
      <c r="E11" s="51"/>
      <c r="F11" s="51"/>
      <c r="G11" s="51"/>
      <c r="H11" s="51"/>
      <c r="I11" s="51"/>
      <c r="J11" s="51"/>
      <c r="K11" s="52"/>
    </row>
    <row r="12" spans="1:12" x14ac:dyDescent="0.25">
      <c r="A12" s="14" t="s">
        <v>16</v>
      </c>
      <c r="B12" s="15">
        <f>B4-B11*B7</f>
        <v>43.093507842617704</v>
      </c>
      <c r="D12" s="28"/>
      <c r="E12" s="28"/>
      <c r="F12" s="28"/>
      <c r="G12" s="28"/>
      <c r="H12" s="28"/>
      <c r="I12" s="28"/>
      <c r="J12" s="28"/>
      <c r="K12" s="28"/>
    </row>
    <row r="13" spans="1:12" x14ac:dyDescent="0.25">
      <c r="A13" s="14" t="s">
        <v>17</v>
      </c>
      <c r="B13" s="15">
        <f>B4+B11*B7</f>
        <v>45.137469039924049</v>
      </c>
      <c r="D13" s="32" t="s">
        <v>47</v>
      </c>
      <c r="E13" s="33"/>
      <c r="F13" s="33"/>
      <c r="G13" s="33"/>
      <c r="H13" s="33"/>
      <c r="I13" s="33"/>
      <c r="J13" s="33"/>
      <c r="K13" s="34"/>
    </row>
    <row r="14" spans="1:12" x14ac:dyDescent="0.25">
      <c r="A14" s="14" t="s">
        <v>38</v>
      </c>
      <c r="B14" s="15">
        <f>2*MIN(_xlfn.Z.TEST(Sample!C2:C251,B8,B6),1-_xlfn.Z.TEST(Sample!C2:C251,B8,B6))</f>
        <v>0.17730718412359403</v>
      </c>
      <c r="D14" s="35"/>
      <c r="E14" s="36"/>
      <c r="F14" s="36"/>
      <c r="G14" s="36"/>
      <c r="H14" s="36"/>
      <c r="I14" s="36"/>
      <c r="J14" s="36"/>
      <c r="K14" s="37"/>
    </row>
    <row r="15" spans="1:12" ht="33" customHeight="1" x14ac:dyDescent="0.25">
      <c r="D15" s="38"/>
      <c r="E15" s="39"/>
      <c r="F15" s="39"/>
      <c r="G15" s="39"/>
      <c r="H15" s="39"/>
      <c r="I15" s="39"/>
      <c r="J15" s="39"/>
      <c r="K15" s="40"/>
    </row>
    <row r="16" spans="1:12" x14ac:dyDescent="0.25">
      <c r="D16" s="28"/>
      <c r="E16" s="28"/>
      <c r="F16" s="28"/>
      <c r="G16" s="28"/>
      <c r="H16" s="28"/>
      <c r="I16" s="28"/>
      <c r="J16" s="28"/>
      <c r="K16" s="28"/>
    </row>
    <row r="17" spans="1:11" x14ac:dyDescent="0.25">
      <c r="A17" s="27"/>
      <c r="D17" s="28"/>
      <c r="E17" s="28"/>
      <c r="F17" s="28"/>
      <c r="G17" s="28"/>
      <c r="H17" s="28"/>
      <c r="I17" s="28"/>
      <c r="J17" s="28"/>
      <c r="K17" s="28"/>
    </row>
    <row r="18" spans="1:11" x14ac:dyDescent="0.25">
      <c r="A18" s="27"/>
      <c r="B18" s="24"/>
      <c r="D18" s="28"/>
      <c r="E18" s="28"/>
      <c r="F18" s="28"/>
      <c r="G18" s="28"/>
      <c r="H18" s="28"/>
      <c r="I18" s="28"/>
      <c r="J18" s="28"/>
      <c r="K18" s="28"/>
    </row>
    <row r="19" spans="1:11" x14ac:dyDescent="0.25">
      <c r="A19" s="27"/>
      <c r="B19" s="24"/>
      <c r="D19" s="28"/>
      <c r="E19" s="28"/>
      <c r="F19" s="28"/>
      <c r="G19" s="28"/>
      <c r="H19" s="28"/>
      <c r="I19" s="28"/>
      <c r="J19" s="28"/>
      <c r="K19" s="28"/>
    </row>
  </sheetData>
  <mergeCells count="8">
    <mergeCell ref="D2:K2"/>
    <mergeCell ref="D9:K11"/>
    <mergeCell ref="D13:K15"/>
    <mergeCell ref="D3:K3"/>
    <mergeCell ref="D4:K4"/>
    <mergeCell ref="D5:K5"/>
    <mergeCell ref="D6:K6"/>
    <mergeCell ref="D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1B20-0E4C-418A-AEFF-89A3A25F17F4}">
  <dimension ref="A1:M55"/>
  <sheetViews>
    <sheetView showGridLines="0" workbookViewId="0">
      <selection activeCell="G25" sqref="G25"/>
    </sheetView>
  </sheetViews>
  <sheetFormatPr defaultRowHeight="15" x14ac:dyDescent="0.25"/>
  <cols>
    <col min="1" max="1" width="14.28515625" customWidth="1"/>
    <col min="2" max="2" width="18.28515625" customWidth="1"/>
    <col min="3" max="3" width="19.140625" customWidth="1"/>
    <col min="5" max="5" width="28.5703125" customWidth="1"/>
    <col min="6" max="6" width="12" bestFit="1" customWidth="1"/>
  </cols>
  <sheetData>
    <row r="1" spans="1:13" ht="21" thickTop="1" thickBot="1" x14ac:dyDescent="0.3">
      <c r="A1" s="3" t="s">
        <v>21</v>
      </c>
      <c r="B1" s="3" t="s">
        <v>22</v>
      </c>
      <c r="C1" s="3" t="s">
        <v>23</v>
      </c>
    </row>
    <row r="2" spans="1:13" ht="15.75" customHeight="1" thickTop="1" x14ac:dyDescent="0.25">
      <c r="A2" s="6">
        <v>32.341348446842623</v>
      </c>
      <c r="B2" s="2">
        <v>0</v>
      </c>
      <c r="C2" s="17">
        <v>43.012679414095935</v>
      </c>
      <c r="E2" s="22" t="s">
        <v>24</v>
      </c>
      <c r="F2" s="19">
        <f>_xlfn.COVARIANCE.S(A2:A55,B2:B55)</f>
        <v>0.8913251955335495</v>
      </c>
      <c r="G2" s="59" t="s">
        <v>45</v>
      </c>
      <c r="H2" s="59"/>
      <c r="I2" s="59"/>
      <c r="J2" s="59"/>
      <c r="K2" s="59"/>
      <c r="L2" s="59"/>
      <c r="M2" s="59"/>
    </row>
    <row r="3" spans="1:13" x14ac:dyDescent="0.25">
      <c r="A3" s="6">
        <v>40.089538144667351</v>
      </c>
      <c r="B3" s="2">
        <v>0</v>
      </c>
      <c r="C3" s="17">
        <v>45.408294001068995</v>
      </c>
      <c r="E3" s="22" t="s">
        <v>28</v>
      </c>
      <c r="F3" s="19">
        <f>PEARSON(A2:A55,B2:B55)</f>
        <v>0.15233173730868538</v>
      </c>
      <c r="G3" s="59"/>
      <c r="H3" s="59"/>
      <c r="I3" s="59"/>
      <c r="J3" s="59"/>
      <c r="K3" s="59"/>
      <c r="L3" s="59"/>
      <c r="M3" s="59"/>
    </row>
    <row r="4" spans="1:13" x14ac:dyDescent="0.25">
      <c r="A4" s="6">
        <v>37.734314765343328</v>
      </c>
      <c r="B4" s="2">
        <v>1</v>
      </c>
      <c r="C4" s="17">
        <v>44.844870498779159</v>
      </c>
      <c r="E4" s="23" t="s">
        <v>25</v>
      </c>
      <c r="F4" s="20">
        <f>_xlfn.T.TEST(A2:A55,B2:B55,2,1)</f>
        <v>1.1808841951980744E-55</v>
      </c>
      <c r="G4" s="59"/>
      <c r="H4" s="59"/>
      <c r="I4" s="59"/>
      <c r="J4" s="59"/>
      <c r="K4" s="59"/>
      <c r="L4" s="59"/>
      <c r="M4" s="59"/>
    </row>
    <row r="5" spans="1:13" x14ac:dyDescent="0.25">
      <c r="A5" s="6">
        <v>44.054541543679804</v>
      </c>
      <c r="B5" s="2">
        <v>2</v>
      </c>
      <c r="C5" s="17">
        <v>46.983107512892126</v>
      </c>
      <c r="E5" s="18"/>
    </row>
    <row r="6" spans="1:13" x14ac:dyDescent="0.25">
      <c r="A6" s="6">
        <v>38.680651489702797</v>
      </c>
      <c r="B6" s="2">
        <v>2</v>
      </c>
      <c r="C6" s="17">
        <v>41.355816116453397</v>
      </c>
    </row>
    <row r="7" spans="1:13" x14ac:dyDescent="0.25">
      <c r="A7" s="6">
        <v>39.013690953734915</v>
      </c>
      <c r="B7" s="2">
        <v>0</v>
      </c>
      <c r="C7" s="17">
        <v>43.830443609706812</v>
      </c>
    </row>
    <row r="8" spans="1:13" x14ac:dyDescent="0.25">
      <c r="A8" s="6">
        <v>48.188230863509432</v>
      </c>
      <c r="B8" s="2">
        <v>1</v>
      </c>
      <c r="C8" s="17">
        <v>49.475765722085683</v>
      </c>
    </row>
    <row r="9" spans="1:13" x14ac:dyDescent="0.25">
      <c r="A9" s="6">
        <v>39.084447921424463</v>
      </c>
      <c r="B9" s="2">
        <v>4</v>
      </c>
      <c r="C9" s="17">
        <v>45.341670521252524</v>
      </c>
    </row>
    <row r="10" spans="1:13" x14ac:dyDescent="0.25">
      <c r="A10" s="6">
        <v>42.704712151439715</v>
      </c>
      <c r="B10" s="2">
        <v>3</v>
      </c>
      <c r="C10" s="17">
        <v>48.17397315698021</v>
      </c>
    </row>
    <row r="11" spans="1:13" x14ac:dyDescent="0.25">
      <c r="A11" s="6">
        <v>44.929975169961295</v>
      </c>
      <c r="B11" s="2">
        <v>2</v>
      </c>
      <c r="C11" s="17">
        <v>37.208782432694932</v>
      </c>
    </row>
    <row r="12" spans="1:13" x14ac:dyDescent="0.25">
      <c r="A12" s="6">
        <v>40.630406767593421</v>
      </c>
      <c r="B12" s="2">
        <v>4</v>
      </c>
      <c r="C12" s="17">
        <v>36.53498083161611</v>
      </c>
    </row>
    <row r="13" spans="1:13" x14ac:dyDescent="0.25">
      <c r="A13" s="6">
        <v>51.211576532417695</v>
      </c>
      <c r="B13" s="2">
        <v>3</v>
      </c>
      <c r="C13" s="17">
        <v>49.151389471935751</v>
      </c>
    </row>
    <row r="14" spans="1:13" x14ac:dyDescent="0.25">
      <c r="A14" s="6">
        <v>51.475040729077875</v>
      </c>
      <c r="B14" s="2">
        <v>1</v>
      </c>
      <c r="C14" s="17">
        <v>45.443340891564091</v>
      </c>
    </row>
    <row r="15" spans="1:13" x14ac:dyDescent="0.25">
      <c r="A15" s="6">
        <v>45.72047631600168</v>
      </c>
      <c r="B15" s="2">
        <v>4</v>
      </c>
      <c r="C15" s="17">
        <v>34.341558798518797</v>
      </c>
      <c r="E15" s="18"/>
    </row>
    <row r="16" spans="1:13" x14ac:dyDescent="0.25">
      <c r="A16" s="6">
        <v>37.144582718582939</v>
      </c>
      <c r="B16" s="2">
        <v>0</v>
      </c>
      <c r="C16" s="17">
        <v>38.648393485858449</v>
      </c>
      <c r="E16" s="18"/>
    </row>
    <row r="17" spans="1:13" x14ac:dyDescent="0.25">
      <c r="A17" s="6">
        <v>45.091496694573806</v>
      </c>
      <c r="B17" s="2">
        <v>1</v>
      </c>
      <c r="C17" s="17">
        <v>46.259733882101351</v>
      </c>
    </row>
    <row r="18" spans="1:13" x14ac:dyDescent="0.25">
      <c r="A18" s="6">
        <v>47.405741415669169</v>
      </c>
      <c r="B18" s="2">
        <v>2</v>
      </c>
      <c r="C18" s="17">
        <v>47.142055793648005</v>
      </c>
      <c r="E18" s="18"/>
    </row>
    <row r="19" spans="1:13" x14ac:dyDescent="0.25">
      <c r="A19" s="6">
        <v>47.577164481144528</v>
      </c>
      <c r="B19" s="2">
        <v>1</v>
      </c>
      <c r="C19" s="17">
        <v>46.291753151822654</v>
      </c>
      <c r="E19" s="18"/>
    </row>
    <row r="20" spans="1:13" x14ac:dyDescent="0.25">
      <c r="A20" s="6">
        <v>42.229984802295178</v>
      </c>
      <c r="B20" s="2">
        <v>3</v>
      </c>
      <c r="C20" s="17">
        <v>43.91387743729981</v>
      </c>
    </row>
    <row r="21" spans="1:13" x14ac:dyDescent="0.25">
      <c r="A21" s="6">
        <v>48.182708397419226</v>
      </c>
      <c r="B21" s="2">
        <v>0</v>
      </c>
      <c r="C21" s="17">
        <v>40.388209150993724</v>
      </c>
    </row>
    <row r="22" spans="1:13" x14ac:dyDescent="0.25">
      <c r="A22" s="6">
        <v>42.060671517738243</v>
      </c>
      <c r="B22" s="2">
        <v>3</v>
      </c>
      <c r="C22" s="17">
        <v>47.043141332213139</v>
      </c>
      <c r="E22" s="22" t="s">
        <v>27</v>
      </c>
      <c r="F22" s="19">
        <f>_xlfn.COVARIANCE.S(A2:A55,C2:C55)</f>
        <v>3.6088287064774911</v>
      </c>
      <c r="G22" s="59" t="s">
        <v>46</v>
      </c>
      <c r="H22" s="59"/>
      <c r="I22" s="59"/>
      <c r="J22" s="59"/>
      <c r="K22" s="59"/>
      <c r="L22" s="59"/>
      <c r="M22" s="59"/>
    </row>
    <row r="23" spans="1:13" x14ac:dyDescent="0.25">
      <c r="A23" s="6">
        <v>43.345624528455673</v>
      </c>
      <c r="B23" s="2">
        <v>4</v>
      </c>
      <c r="C23" s="17">
        <v>45.890223287377552</v>
      </c>
      <c r="E23" s="22" t="s">
        <v>26</v>
      </c>
      <c r="F23" s="19">
        <f>PEARSON(A2:A55,C2:C55)</f>
        <v>0.22773353446591932</v>
      </c>
      <c r="G23" s="59"/>
      <c r="H23" s="59"/>
      <c r="I23" s="59"/>
      <c r="J23" s="59"/>
      <c r="K23" s="59"/>
      <c r="L23" s="59"/>
      <c r="M23" s="59"/>
    </row>
    <row r="24" spans="1:13" x14ac:dyDescent="0.25">
      <c r="A24" s="6">
        <v>43.04239390750795</v>
      </c>
      <c r="B24" s="2">
        <v>2</v>
      </c>
      <c r="C24" s="17">
        <v>42.989853300590333</v>
      </c>
      <c r="E24" s="23" t="s">
        <v>25</v>
      </c>
      <c r="F24" s="20">
        <f>_xlfn.T.TEST(A2:A55,C2:C55,2,1)</f>
        <v>0.88572966839763601</v>
      </c>
      <c r="G24" s="59"/>
      <c r="H24" s="59"/>
      <c r="I24" s="59"/>
      <c r="J24" s="59"/>
      <c r="K24" s="59"/>
      <c r="L24" s="59"/>
      <c r="M24" s="59"/>
    </row>
    <row r="25" spans="1:13" x14ac:dyDescent="0.25">
      <c r="A25" s="6">
        <v>36.00040245082284</v>
      </c>
      <c r="B25" s="2">
        <v>1</v>
      </c>
      <c r="C25" s="17">
        <v>40.694848449825038</v>
      </c>
    </row>
    <row r="26" spans="1:13" x14ac:dyDescent="0.25">
      <c r="A26" s="6">
        <v>38.43768218163531</v>
      </c>
      <c r="B26" s="2">
        <v>3</v>
      </c>
      <c r="C26" s="17">
        <v>46.457747297650592</v>
      </c>
    </row>
    <row r="27" spans="1:13" x14ac:dyDescent="0.25">
      <c r="A27" s="6">
        <v>41.647458250533312</v>
      </c>
      <c r="B27" s="2">
        <v>2</v>
      </c>
      <c r="C27" s="17">
        <v>39.018490328944921</v>
      </c>
    </row>
    <row r="28" spans="1:13" x14ac:dyDescent="0.25">
      <c r="A28" s="6">
        <v>42.051684481191735</v>
      </c>
      <c r="B28" s="2">
        <v>2</v>
      </c>
      <c r="C28" s="17">
        <v>35.196169258606879</v>
      </c>
    </row>
    <row r="29" spans="1:13" x14ac:dyDescent="0.25">
      <c r="A29" s="6">
        <v>44.766224149240252</v>
      </c>
      <c r="B29" s="2">
        <v>0</v>
      </c>
      <c r="C29" s="17">
        <v>43.30345040763455</v>
      </c>
    </row>
    <row r="30" spans="1:13" x14ac:dyDescent="0.25">
      <c r="A30" s="6">
        <v>46.497909544171868</v>
      </c>
      <c r="B30" s="2">
        <v>0</v>
      </c>
      <c r="C30" s="17">
        <v>40.409438360414299</v>
      </c>
    </row>
    <row r="31" spans="1:13" x14ac:dyDescent="0.25">
      <c r="A31" s="6">
        <v>41.941139604865882</v>
      </c>
      <c r="B31" s="2">
        <v>0</v>
      </c>
      <c r="C31" s="17">
        <v>49.402167445638185</v>
      </c>
    </row>
    <row r="32" spans="1:13" x14ac:dyDescent="0.25">
      <c r="A32" s="6">
        <v>43.486966137381174</v>
      </c>
      <c r="B32" s="2">
        <v>3</v>
      </c>
      <c r="C32" s="17">
        <v>43.439554645661339</v>
      </c>
    </row>
    <row r="33" spans="1:12" x14ac:dyDescent="0.25">
      <c r="A33" s="6">
        <v>49.461985581228362</v>
      </c>
      <c r="B33" s="2">
        <v>4</v>
      </c>
      <c r="C33" s="17">
        <v>44.04013089924846</v>
      </c>
    </row>
    <row r="34" spans="1:12" x14ac:dyDescent="0.25">
      <c r="A34" s="6">
        <v>39.76720303861849</v>
      </c>
      <c r="B34" s="2">
        <v>1</v>
      </c>
      <c r="C34" s="17">
        <v>47.701936079670382</v>
      </c>
    </row>
    <row r="35" spans="1:12" x14ac:dyDescent="0.25">
      <c r="A35" s="6">
        <v>42.914644149899829</v>
      </c>
      <c r="B35" s="2">
        <v>3</v>
      </c>
      <c r="C35" s="17">
        <v>45.852828718648937</v>
      </c>
    </row>
    <row r="36" spans="1:12" x14ac:dyDescent="0.25">
      <c r="A36" s="6">
        <v>44.209556621708998</v>
      </c>
      <c r="B36" s="2">
        <v>1</v>
      </c>
      <c r="C36" s="17">
        <v>44.738694700827118</v>
      </c>
    </row>
    <row r="37" spans="1:12" x14ac:dyDescent="0.25">
      <c r="A37" s="6">
        <v>46.790125417269266</v>
      </c>
      <c r="B37" s="2">
        <v>0</v>
      </c>
      <c r="C37" s="17">
        <v>54.826594832636708</v>
      </c>
    </row>
    <row r="38" spans="1:12" x14ac:dyDescent="0.25">
      <c r="A38" s="6">
        <v>46.538566937588406</v>
      </c>
      <c r="B38" s="2">
        <v>4</v>
      </c>
      <c r="C38" s="17">
        <v>44.934435263227826</v>
      </c>
    </row>
    <row r="39" spans="1:12" x14ac:dyDescent="0.25">
      <c r="A39" s="6">
        <v>46.027857729732588</v>
      </c>
      <c r="B39" s="2">
        <v>0</v>
      </c>
      <c r="C39" s="17">
        <v>40.289585575583118</v>
      </c>
    </row>
    <row r="40" spans="1:12" x14ac:dyDescent="0.25">
      <c r="A40" s="6">
        <v>45.657086323394502</v>
      </c>
      <c r="B40" s="2">
        <v>2</v>
      </c>
      <c r="C40" s="17">
        <v>44.919821616025068</v>
      </c>
    </row>
    <row r="41" spans="1:12" x14ac:dyDescent="0.25">
      <c r="A41" s="6">
        <v>49.414124848020514</v>
      </c>
      <c r="B41" s="2">
        <v>3</v>
      </c>
      <c r="C41" s="17">
        <v>49.403218789838618</v>
      </c>
    </row>
    <row r="42" spans="1:12" ht="15" customHeight="1" x14ac:dyDescent="0.25">
      <c r="A42" s="6">
        <v>46.875531260687637</v>
      </c>
      <c r="B42" s="2">
        <v>4</v>
      </c>
      <c r="C42" s="17">
        <v>43.525567741229182</v>
      </c>
      <c r="E42" s="59" t="s">
        <v>29</v>
      </c>
      <c r="F42" s="59"/>
      <c r="G42" s="59"/>
      <c r="H42" s="59"/>
      <c r="I42" s="59"/>
      <c r="J42" s="59"/>
      <c r="K42" s="59"/>
      <c r="L42" s="59"/>
    </row>
    <row r="43" spans="1:12" x14ac:dyDescent="0.25">
      <c r="A43" s="6">
        <v>47.989197408772938</v>
      </c>
      <c r="B43" s="2">
        <v>0</v>
      </c>
      <c r="C43" s="17">
        <v>48.940433691103806</v>
      </c>
      <c r="E43" s="59"/>
      <c r="F43" s="59"/>
      <c r="G43" s="59"/>
      <c r="H43" s="59"/>
      <c r="I43" s="59"/>
      <c r="J43" s="59"/>
      <c r="K43" s="59"/>
      <c r="L43" s="59"/>
    </row>
    <row r="44" spans="1:12" x14ac:dyDescent="0.25">
      <c r="A44" s="6">
        <v>44.331878117802923</v>
      </c>
      <c r="B44" s="2">
        <v>3</v>
      </c>
      <c r="C44" s="17">
        <v>41.496706794943684</v>
      </c>
      <c r="E44" s="59"/>
      <c r="F44" s="59"/>
      <c r="G44" s="59"/>
      <c r="H44" s="59"/>
      <c r="I44" s="59"/>
      <c r="J44" s="59"/>
      <c r="K44" s="59"/>
      <c r="L44" s="59"/>
    </row>
    <row r="45" spans="1:12" x14ac:dyDescent="0.25">
      <c r="A45" s="6">
        <v>43.24515598653003</v>
      </c>
      <c r="B45" s="2">
        <v>3</v>
      </c>
      <c r="C45" s="17">
        <v>45.973377580335359</v>
      </c>
      <c r="E45" s="21"/>
      <c r="F45" s="21"/>
      <c r="G45" s="21"/>
      <c r="H45" s="21"/>
      <c r="I45" s="21"/>
    </row>
    <row r="46" spans="1:12" x14ac:dyDescent="0.25">
      <c r="A46" s="6">
        <v>47.725229069836317</v>
      </c>
      <c r="B46" s="2">
        <v>1</v>
      </c>
      <c r="C46" s="17">
        <v>42.00556335122031</v>
      </c>
    </row>
    <row r="47" spans="1:12" x14ac:dyDescent="0.25">
      <c r="A47" s="6">
        <v>45.283528433012705</v>
      </c>
      <c r="B47" s="2">
        <v>2</v>
      </c>
      <c r="C47" s="17">
        <v>47.280865162931811</v>
      </c>
    </row>
    <row r="48" spans="1:12" x14ac:dyDescent="0.25">
      <c r="A48" s="6">
        <v>48.516219528287102</v>
      </c>
      <c r="B48" s="2">
        <v>1</v>
      </c>
      <c r="C48" s="17">
        <v>42.2541824331838</v>
      </c>
    </row>
    <row r="49" spans="1:3" x14ac:dyDescent="0.25">
      <c r="A49" s="6">
        <v>48.742509982045753</v>
      </c>
      <c r="B49" s="2">
        <v>3</v>
      </c>
      <c r="C49" s="17">
        <v>47.18358073234419</v>
      </c>
    </row>
    <row r="50" spans="1:3" x14ac:dyDescent="0.25">
      <c r="A50" s="6">
        <v>39.342278746106629</v>
      </c>
      <c r="B50" s="2">
        <v>3</v>
      </c>
      <c r="C50" s="17">
        <v>42.480988412722731</v>
      </c>
    </row>
    <row r="51" spans="1:3" x14ac:dyDescent="0.25">
      <c r="A51" s="6">
        <v>46.88366606377685</v>
      </c>
      <c r="B51" s="2">
        <v>4</v>
      </c>
      <c r="C51" s="17">
        <v>45.487441746458359</v>
      </c>
    </row>
    <row r="52" spans="1:3" x14ac:dyDescent="0.25">
      <c r="A52" s="6">
        <v>47.930686199586944</v>
      </c>
      <c r="B52" s="2">
        <v>2</v>
      </c>
      <c r="C52" s="17">
        <v>41.888542287511093</v>
      </c>
    </row>
    <row r="53" spans="1:3" x14ac:dyDescent="0.25">
      <c r="A53" s="6">
        <v>45.890678414512948</v>
      </c>
      <c r="B53" s="2">
        <v>4</v>
      </c>
      <c r="C53" s="17">
        <v>41.512571493858616</v>
      </c>
    </row>
    <row r="54" spans="1:3" x14ac:dyDescent="0.25">
      <c r="A54" s="6">
        <v>43.495487201189221</v>
      </c>
      <c r="B54" s="2">
        <v>0</v>
      </c>
      <c r="C54" s="17">
        <v>48.511878064746057</v>
      </c>
    </row>
    <row r="55" spans="1:3" x14ac:dyDescent="0.25">
      <c r="A55" s="6">
        <v>48.434391710392681</v>
      </c>
      <c r="B55" s="2">
        <v>4</v>
      </c>
      <c r="C55" s="17">
        <v>44.644277400080483</v>
      </c>
    </row>
  </sheetData>
  <mergeCells count="3">
    <mergeCell ref="G2:M4"/>
    <mergeCell ref="G22:M24"/>
    <mergeCell ref="E42:L4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AD64-4112-476A-8186-6A86201257B8}">
  <dimension ref="A1:O251"/>
  <sheetViews>
    <sheetView showGridLines="0" workbookViewId="0">
      <selection activeCell="E2" sqref="E2"/>
    </sheetView>
  </sheetViews>
  <sheetFormatPr defaultRowHeight="15" x14ac:dyDescent="0.25"/>
  <cols>
    <col min="1" max="2" width="11" customWidth="1"/>
    <col min="3" max="3" width="3.7109375" customWidth="1"/>
    <col min="4" max="4" width="18.140625" customWidth="1"/>
  </cols>
  <sheetData>
    <row r="1" spans="1:15" ht="21" thickTop="1" thickBot="1" x14ac:dyDescent="0.3">
      <c r="A1" s="3" t="s">
        <v>30</v>
      </c>
      <c r="B1" s="3" t="s">
        <v>31</v>
      </c>
    </row>
    <row r="2" spans="1:15" ht="15.75" thickTop="1" x14ac:dyDescent="0.25">
      <c r="A2" s="6">
        <f>Data!A2</f>
        <v>32.341348446842623</v>
      </c>
      <c r="B2" s="2">
        <v>1</v>
      </c>
      <c r="D2" s="22" t="s">
        <v>32</v>
      </c>
      <c r="E2" s="19">
        <f>_xlfn.FORECAST.LINEAR(160,A2:A251,B2:B251)</f>
        <v>44.975323298619429</v>
      </c>
    </row>
    <row r="3" spans="1:15" ht="15" customHeight="1" x14ac:dyDescent="0.25">
      <c r="A3" s="6">
        <f>Data!A3</f>
        <v>40.089538144667351</v>
      </c>
      <c r="B3" s="2">
        <v>2</v>
      </c>
      <c r="K3" s="21"/>
      <c r="L3" s="21"/>
      <c r="M3" s="21"/>
      <c r="N3" s="21"/>
      <c r="O3" s="21"/>
    </row>
    <row r="4" spans="1:15" x14ac:dyDescent="0.25">
      <c r="A4" s="6">
        <f>Data!A4</f>
        <v>37.734314765343328</v>
      </c>
      <c r="B4" s="2">
        <v>3</v>
      </c>
      <c r="K4" s="21"/>
      <c r="L4" s="21"/>
      <c r="M4" s="21"/>
      <c r="N4" s="21"/>
      <c r="O4" s="21"/>
    </row>
    <row r="5" spans="1:15" x14ac:dyDescent="0.25">
      <c r="A5" s="6">
        <f>Data!A5</f>
        <v>48.954328016663531</v>
      </c>
      <c r="B5" s="2">
        <v>4</v>
      </c>
      <c r="K5" s="21"/>
      <c r="L5" s="21"/>
      <c r="M5" s="21"/>
      <c r="N5" s="21"/>
      <c r="O5" s="21"/>
    </row>
    <row r="6" spans="1:15" x14ac:dyDescent="0.25">
      <c r="A6" s="6">
        <f>Data!A6</f>
        <v>42.175914134335777</v>
      </c>
      <c r="B6" s="2">
        <v>5</v>
      </c>
    </row>
    <row r="7" spans="1:15" x14ac:dyDescent="0.25">
      <c r="A7" s="6">
        <f>Data!A7</f>
        <v>44.054541543679804</v>
      </c>
      <c r="B7" s="2">
        <v>6</v>
      </c>
    </row>
    <row r="8" spans="1:15" x14ac:dyDescent="0.25">
      <c r="A8" s="6">
        <f>Data!A8</f>
        <v>48.633313281584087</v>
      </c>
      <c r="B8" s="2">
        <v>7</v>
      </c>
    </row>
    <row r="9" spans="1:15" x14ac:dyDescent="0.25">
      <c r="A9" s="6">
        <f>Data!A9</f>
        <v>46.469210530203</v>
      </c>
      <c r="B9" s="2">
        <v>8</v>
      </c>
    </row>
    <row r="10" spans="1:15" x14ac:dyDescent="0.25">
      <c r="A10" s="6">
        <f>Data!A10</f>
        <v>47.904616152913832</v>
      </c>
      <c r="B10" s="2">
        <v>9</v>
      </c>
    </row>
    <row r="11" spans="1:15" x14ac:dyDescent="0.25">
      <c r="A11" s="6">
        <f>Data!A11</f>
        <v>38.680651489702797</v>
      </c>
      <c r="B11" s="2">
        <v>10</v>
      </c>
    </row>
    <row r="12" spans="1:15" x14ac:dyDescent="0.25">
      <c r="A12" s="6">
        <f>Data!A12</f>
        <v>45.950752545369312</v>
      </c>
      <c r="B12" s="2">
        <v>11</v>
      </c>
    </row>
    <row r="13" spans="1:15" x14ac:dyDescent="0.25">
      <c r="A13" s="6">
        <f>Data!A13</f>
        <v>40.064490753632256</v>
      </c>
      <c r="B13" s="2">
        <v>12</v>
      </c>
    </row>
    <row r="14" spans="1:15" x14ac:dyDescent="0.25">
      <c r="A14" s="6">
        <f>Data!A14</f>
        <v>45.374397103849105</v>
      </c>
      <c r="B14" s="2">
        <v>13</v>
      </c>
    </row>
    <row r="15" spans="1:15" x14ac:dyDescent="0.25">
      <c r="A15" s="6">
        <f>Data!A15</f>
        <v>46.77035252788275</v>
      </c>
      <c r="B15" s="2">
        <v>14</v>
      </c>
    </row>
    <row r="16" spans="1:15" x14ac:dyDescent="0.25">
      <c r="A16" s="6">
        <f>Data!A16</f>
        <v>43.68003553425774</v>
      </c>
      <c r="B16" s="2">
        <v>15</v>
      </c>
    </row>
    <row r="17" spans="1:15" x14ac:dyDescent="0.25">
      <c r="A17" s="6">
        <f>Data!A17</f>
        <v>42.277839502906552</v>
      </c>
      <c r="B17" s="2">
        <v>16</v>
      </c>
      <c r="K17" s="21"/>
      <c r="L17" s="21"/>
      <c r="M17" s="21"/>
      <c r="N17" s="21"/>
      <c r="O17" s="21"/>
    </row>
    <row r="18" spans="1:15" x14ac:dyDescent="0.25">
      <c r="A18" s="6">
        <f>Data!A18</f>
        <v>39.013690953734915</v>
      </c>
      <c r="B18" s="2">
        <v>17</v>
      </c>
      <c r="K18" s="21"/>
      <c r="L18" s="21"/>
      <c r="M18" s="21"/>
      <c r="N18" s="21"/>
      <c r="O18" s="21"/>
    </row>
    <row r="19" spans="1:15" x14ac:dyDescent="0.25">
      <c r="A19" s="6">
        <f>Data!A19</f>
        <v>41.906611791879364</v>
      </c>
      <c r="B19" s="2">
        <v>18</v>
      </c>
      <c r="K19" s="21"/>
      <c r="L19" s="21"/>
      <c r="M19" s="21"/>
      <c r="N19" s="21"/>
      <c r="O19" s="21"/>
    </row>
    <row r="20" spans="1:15" x14ac:dyDescent="0.25">
      <c r="A20" s="6">
        <f>Data!A20</f>
        <v>46.185543128916294</v>
      </c>
      <c r="B20" s="2">
        <v>19</v>
      </c>
    </row>
    <row r="21" spans="1:15" x14ac:dyDescent="0.25">
      <c r="A21" s="6">
        <f>Data!A21</f>
        <v>44.310984620414025</v>
      </c>
      <c r="B21" s="2">
        <v>20</v>
      </c>
    </row>
    <row r="22" spans="1:15" x14ac:dyDescent="0.25">
      <c r="A22" s="6">
        <f>Data!A22</f>
        <v>37.548149743393402</v>
      </c>
      <c r="B22" s="2">
        <v>21</v>
      </c>
    </row>
    <row r="23" spans="1:15" x14ac:dyDescent="0.25">
      <c r="A23" s="6">
        <f>Data!A23</f>
        <v>48.188230863509432</v>
      </c>
      <c r="B23" s="2">
        <v>22</v>
      </c>
    </row>
    <row r="24" spans="1:15" x14ac:dyDescent="0.25">
      <c r="A24" s="6">
        <f>Data!A24</f>
        <v>40.897120258406765</v>
      </c>
      <c r="B24" s="2">
        <v>23</v>
      </c>
    </row>
    <row r="25" spans="1:15" x14ac:dyDescent="0.25">
      <c r="A25" s="6">
        <f>Data!A25</f>
        <v>39.281136454793241</v>
      </c>
      <c r="B25" s="2">
        <v>24</v>
      </c>
    </row>
    <row r="26" spans="1:15" x14ac:dyDescent="0.25">
      <c r="A26" s="6">
        <f>Data!A26</f>
        <v>46.907224843992182</v>
      </c>
      <c r="B26" s="2">
        <v>25</v>
      </c>
    </row>
    <row r="27" spans="1:15" x14ac:dyDescent="0.25">
      <c r="A27" s="6">
        <f>Data!A27</f>
        <v>37.053401825432033</v>
      </c>
      <c r="B27" s="2">
        <v>26</v>
      </c>
    </row>
    <row r="28" spans="1:15" x14ac:dyDescent="0.25">
      <c r="A28" s="6">
        <f>Data!A28</f>
        <v>50.759767807981675</v>
      </c>
      <c r="B28" s="2">
        <v>27</v>
      </c>
    </row>
    <row r="29" spans="1:15" x14ac:dyDescent="0.25">
      <c r="A29" s="6">
        <f>Data!A29</f>
        <v>44.192973567047744</v>
      </c>
      <c r="B29" s="2">
        <v>28</v>
      </c>
    </row>
    <row r="30" spans="1:15" x14ac:dyDescent="0.25">
      <c r="A30" s="6">
        <f>Data!A30</f>
        <v>39.084447921424463</v>
      </c>
      <c r="B30" s="2">
        <v>29</v>
      </c>
    </row>
    <row r="31" spans="1:15" x14ac:dyDescent="0.25">
      <c r="A31" s="6">
        <f>Data!A31</f>
        <v>43.814454599433162</v>
      </c>
      <c r="B31" s="2">
        <v>30</v>
      </c>
    </row>
    <row r="32" spans="1:15" x14ac:dyDescent="0.25">
      <c r="A32" s="6">
        <f>Data!A32</f>
        <v>49.425777275669049</v>
      </c>
      <c r="B32" s="2">
        <v>31</v>
      </c>
    </row>
    <row r="33" spans="1:2" x14ac:dyDescent="0.25">
      <c r="A33" s="6">
        <f>Data!A33</f>
        <v>47.680253767585505</v>
      </c>
      <c r="B33" s="2">
        <v>32</v>
      </c>
    </row>
    <row r="34" spans="1:2" x14ac:dyDescent="0.25">
      <c r="A34" s="6">
        <f>Data!A34</f>
        <v>40.913898362926616</v>
      </c>
      <c r="B34" s="2">
        <v>33</v>
      </c>
    </row>
    <row r="35" spans="1:2" x14ac:dyDescent="0.25">
      <c r="A35" s="6">
        <f>Data!A35</f>
        <v>50.936759679994623</v>
      </c>
      <c r="B35" s="2">
        <v>34</v>
      </c>
    </row>
    <row r="36" spans="1:2" x14ac:dyDescent="0.25">
      <c r="A36" s="6">
        <f>Data!A36</f>
        <v>38.709368467843248</v>
      </c>
      <c r="B36" s="2">
        <v>35</v>
      </c>
    </row>
    <row r="37" spans="1:2" x14ac:dyDescent="0.25">
      <c r="A37" s="6">
        <f>Data!A37</f>
        <v>38.001734275765038</v>
      </c>
      <c r="B37" s="2">
        <v>36</v>
      </c>
    </row>
    <row r="38" spans="1:2" x14ac:dyDescent="0.25">
      <c r="A38" s="6">
        <f>Data!A38</f>
        <v>41.208664543822955</v>
      </c>
      <c r="B38" s="2">
        <v>37</v>
      </c>
    </row>
    <row r="39" spans="1:2" x14ac:dyDescent="0.25">
      <c r="A39" s="6">
        <f>Data!A39</f>
        <v>40.007779676143173</v>
      </c>
      <c r="B39" s="2">
        <v>38</v>
      </c>
    </row>
    <row r="40" spans="1:2" x14ac:dyDescent="0.25">
      <c r="A40" s="6">
        <f>Data!A40</f>
        <v>51.392788858413752</v>
      </c>
      <c r="B40" s="2">
        <v>39</v>
      </c>
    </row>
    <row r="41" spans="1:2" x14ac:dyDescent="0.25">
      <c r="A41" s="6">
        <f>Data!A41</f>
        <v>46.948868820675877</v>
      </c>
      <c r="B41" s="2">
        <v>40</v>
      </c>
    </row>
    <row r="42" spans="1:2" x14ac:dyDescent="0.25">
      <c r="A42" s="6">
        <f>Data!A42</f>
        <v>45.074112967662096</v>
      </c>
      <c r="B42" s="2">
        <v>41</v>
      </c>
    </row>
    <row r="43" spans="1:2" x14ac:dyDescent="0.25">
      <c r="A43" s="6">
        <f>Data!A43</f>
        <v>47.706766085820092</v>
      </c>
      <c r="B43" s="2">
        <v>42</v>
      </c>
    </row>
    <row r="44" spans="1:2" x14ac:dyDescent="0.25">
      <c r="A44" s="6">
        <f>Data!A44</f>
        <v>51.622310860567595</v>
      </c>
      <c r="B44" s="2">
        <v>43</v>
      </c>
    </row>
    <row r="45" spans="1:2" x14ac:dyDescent="0.25">
      <c r="A45" s="6">
        <f>Data!A45</f>
        <v>45.06099098559676</v>
      </c>
      <c r="B45" s="2">
        <v>44</v>
      </c>
    </row>
    <row r="46" spans="1:2" x14ac:dyDescent="0.25">
      <c r="A46" s="6">
        <f>Data!A46</f>
        <v>45.814009367567493</v>
      </c>
      <c r="B46" s="2">
        <v>45</v>
      </c>
    </row>
    <row r="47" spans="1:2" x14ac:dyDescent="0.25">
      <c r="A47" s="6">
        <f>Data!A47</f>
        <v>45.998038124263232</v>
      </c>
      <c r="B47" s="2">
        <v>46</v>
      </c>
    </row>
    <row r="48" spans="1:2" x14ac:dyDescent="0.25">
      <c r="A48" s="6">
        <f>Data!A48</f>
        <v>43.425744921008565</v>
      </c>
      <c r="B48" s="2">
        <v>47</v>
      </c>
    </row>
    <row r="49" spans="1:2" x14ac:dyDescent="0.25">
      <c r="A49" s="6">
        <f>Data!A49</f>
        <v>45.898692843185799</v>
      </c>
      <c r="B49" s="2">
        <v>48</v>
      </c>
    </row>
    <row r="50" spans="1:2" x14ac:dyDescent="0.25">
      <c r="A50" s="6">
        <f>Data!A50</f>
        <v>45.254443871030283</v>
      </c>
      <c r="B50" s="2">
        <v>49</v>
      </c>
    </row>
    <row r="51" spans="1:2" x14ac:dyDescent="0.25">
      <c r="A51" s="6">
        <f>Data!A51</f>
        <v>47.277039620318604</v>
      </c>
      <c r="B51" s="2">
        <v>50</v>
      </c>
    </row>
    <row r="52" spans="1:2" x14ac:dyDescent="0.25">
      <c r="A52" s="6">
        <f>Data!A52</f>
        <v>49.672699992539357</v>
      </c>
      <c r="B52" s="2">
        <v>51</v>
      </c>
    </row>
    <row r="53" spans="1:2" x14ac:dyDescent="0.25">
      <c r="A53" s="6">
        <f>Data!A53</f>
        <v>42.704712151439715</v>
      </c>
      <c r="B53" s="2">
        <v>52</v>
      </c>
    </row>
    <row r="54" spans="1:2" x14ac:dyDescent="0.25">
      <c r="A54" s="6">
        <f>Data!A54</f>
        <v>44.738958901729568</v>
      </c>
      <c r="B54" s="2">
        <v>53</v>
      </c>
    </row>
    <row r="55" spans="1:2" x14ac:dyDescent="0.25">
      <c r="A55" s="6">
        <f>Data!A55</f>
        <v>42.109654831363514</v>
      </c>
      <c r="B55" s="2">
        <v>54</v>
      </c>
    </row>
    <row r="56" spans="1:2" x14ac:dyDescent="0.25">
      <c r="A56" s="6">
        <f>Data!A56</f>
        <v>45.039150496699484</v>
      </c>
      <c r="B56" s="2">
        <v>55</v>
      </c>
    </row>
    <row r="57" spans="1:2" x14ac:dyDescent="0.25">
      <c r="A57" s="6">
        <f>Data!A57</f>
        <v>48.298594683578472</v>
      </c>
      <c r="B57" s="2">
        <v>56</v>
      </c>
    </row>
    <row r="58" spans="1:2" x14ac:dyDescent="0.25">
      <c r="A58" s="6">
        <f>Data!A58</f>
        <v>48.41022895795151</v>
      </c>
      <c r="B58" s="2">
        <v>57</v>
      </c>
    </row>
    <row r="59" spans="1:2" x14ac:dyDescent="0.25">
      <c r="A59" s="6">
        <f>Data!A59</f>
        <v>53.095967480002827</v>
      </c>
      <c r="B59" s="2">
        <v>58</v>
      </c>
    </row>
    <row r="60" spans="1:2" x14ac:dyDescent="0.25">
      <c r="A60" s="6">
        <f>Data!A60</f>
        <v>45.975233492116239</v>
      </c>
      <c r="B60" s="2">
        <v>59</v>
      </c>
    </row>
    <row r="61" spans="1:2" x14ac:dyDescent="0.25">
      <c r="A61" s="6">
        <f>Data!A61</f>
        <v>39.271092867327845</v>
      </c>
      <c r="B61" s="2">
        <v>60</v>
      </c>
    </row>
    <row r="62" spans="1:2" x14ac:dyDescent="0.25">
      <c r="A62" s="6">
        <f>Data!A62</f>
        <v>48.881721547267844</v>
      </c>
      <c r="B62" s="2">
        <v>61</v>
      </c>
    </row>
    <row r="63" spans="1:2" x14ac:dyDescent="0.25">
      <c r="A63" s="6">
        <f>Data!A63</f>
        <v>48.027314719316017</v>
      </c>
      <c r="B63" s="2">
        <v>62</v>
      </c>
    </row>
    <row r="64" spans="1:2" x14ac:dyDescent="0.25">
      <c r="A64" s="6">
        <f>Data!A64</f>
        <v>36.793395417794002</v>
      </c>
      <c r="B64" s="2">
        <v>63</v>
      </c>
    </row>
    <row r="65" spans="1:2" x14ac:dyDescent="0.25">
      <c r="A65" s="6">
        <f>Data!A65</f>
        <v>44.929975169961295</v>
      </c>
      <c r="B65" s="2">
        <v>64</v>
      </c>
    </row>
    <row r="66" spans="1:2" x14ac:dyDescent="0.25">
      <c r="A66" s="6">
        <f>Data!A66</f>
        <v>43.313987266244062</v>
      </c>
      <c r="B66" s="2">
        <v>65</v>
      </c>
    </row>
    <row r="67" spans="1:2" x14ac:dyDescent="0.25">
      <c r="A67" s="6">
        <f>Data!A67</f>
        <v>44.26677595795784</v>
      </c>
      <c r="B67" s="2">
        <v>66</v>
      </c>
    </row>
    <row r="68" spans="1:2" x14ac:dyDescent="0.25">
      <c r="A68" s="6">
        <f>Data!A68</f>
        <v>45.179808178377286</v>
      </c>
      <c r="B68" s="2">
        <v>67</v>
      </c>
    </row>
    <row r="69" spans="1:2" x14ac:dyDescent="0.25">
      <c r="A69" s="6">
        <f>Data!A69</f>
        <v>52.435842476626071</v>
      </c>
      <c r="B69" s="2">
        <v>68</v>
      </c>
    </row>
    <row r="70" spans="1:2" x14ac:dyDescent="0.25">
      <c r="A70" s="6">
        <f>Data!A70</f>
        <v>40.881383917611672</v>
      </c>
      <c r="B70" s="2">
        <v>69</v>
      </c>
    </row>
    <row r="71" spans="1:2" x14ac:dyDescent="0.25">
      <c r="A71" s="6">
        <f>Data!A71</f>
        <v>52.490897346829087</v>
      </c>
      <c r="B71" s="2">
        <v>70</v>
      </c>
    </row>
    <row r="72" spans="1:2" x14ac:dyDescent="0.25">
      <c r="A72" s="6">
        <f>Data!A72</f>
        <v>43.990669781348117</v>
      </c>
      <c r="B72" s="2">
        <v>71</v>
      </c>
    </row>
    <row r="73" spans="1:2" x14ac:dyDescent="0.25">
      <c r="A73" s="6">
        <f>Data!A73</f>
        <v>43.419950256776239</v>
      </c>
      <c r="B73" s="2">
        <v>72</v>
      </c>
    </row>
    <row r="74" spans="1:2" x14ac:dyDescent="0.25">
      <c r="A74" s="6">
        <f>Data!A74</f>
        <v>48.780998615165828</v>
      </c>
      <c r="B74" s="2">
        <v>73</v>
      </c>
    </row>
    <row r="75" spans="1:2" x14ac:dyDescent="0.25">
      <c r="A75" s="6">
        <f>Data!A75</f>
        <v>45.053157114668082</v>
      </c>
      <c r="B75" s="2">
        <v>74</v>
      </c>
    </row>
    <row r="76" spans="1:2" x14ac:dyDescent="0.25">
      <c r="A76" s="6">
        <f>Data!A76</f>
        <v>50.699960044961003</v>
      </c>
      <c r="B76" s="2">
        <v>75</v>
      </c>
    </row>
    <row r="77" spans="1:2" x14ac:dyDescent="0.25">
      <c r="A77" s="6">
        <f>Data!A77</f>
        <v>40.324119952849436</v>
      </c>
      <c r="B77" s="2">
        <v>76</v>
      </c>
    </row>
    <row r="78" spans="1:2" x14ac:dyDescent="0.25">
      <c r="A78" s="6">
        <f>Data!A78</f>
        <v>40.630406767593421</v>
      </c>
      <c r="B78" s="2">
        <v>77</v>
      </c>
    </row>
    <row r="79" spans="1:2" x14ac:dyDescent="0.25">
      <c r="A79" s="6">
        <f>Data!A79</f>
        <v>49.453048334275486</v>
      </c>
      <c r="B79" s="2">
        <v>78</v>
      </c>
    </row>
    <row r="80" spans="1:2" x14ac:dyDescent="0.25">
      <c r="A80" s="6">
        <f>Data!A80</f>
        <v>45.856445709363115</v>
      </c>
      <c r="B80" s="2">
        <v>79</v>
      </c>
    </row>
    <row r="81" spans="1:2" x14ac:dyDescent="0.25">
      <c r="A81" s="6">
        <f>Data!A81</f>
        <v>51.211576532417695</v>
      </c>
      <c r="B81" s="2">
        <v>80</v>
      </c>
    </row>
    <row r="82" spans="1:2" x14ac:dyDescent="0.25">
      <c r="A82" s="6">
        <f>Data!A82</f>
        <v>51.541323305405868</v>
      </c>
      <c r="B82" s="2">
        <v>81</v>
      </c>
    </row>
    <row r="83" spans="1:2" x14ac:dyDescent="0.25">
      <c r="A83" s="6">
        <f>Data!A83</f>
        <v>51.475040729077875</v>
      </c>
      <c r="B83" s="2">
        <v>82</v>
      </c>
    </row>
    <row r="84" spans="1:2" x14ac:dyDescent="0.25">
      <c r="A84" s="6">
        <f>Data!A84</f>
        <v>51.465080354010098</v>
      </c>
      <c r="B84" s="2">
        <v>83</v>
      </c>
    </row>
    <row r="85" spans="1:2" x14ac:dyDescent="0.25">
      <c r="A85" s="6">
        <f>Data!A85</f>
        <v>48.500314559815138</v>
      </c>
      <c r="B85" s="2">
        <v>84</v>
      </c>
    </row>
    <row r="86" spans="1:2" x14ac:dyDescent="0.25">
      <c r="A86" s="6">
        <f>Data!A86</f>
        <v>47.000076528572365</v>
      </c>
      <c r="B86" s="2">
        <v>85</v>
      </c>
    </row>
    <row r="87" spans="1:2" x14ac:dyDescent="0.25">
      <c r="A87" s="6">
        <f>Data!A87</f>
        <v>43.123545317038847</v>
      </c>
      <c r="B87" s="2">
        <v>86</v>
      </c>
    </row>
    <row r="88" spans="1:2" x14ac:dyDescent="0.25">
      <c r="A88" s="6">
        <f>Data!A88</f>
        <v>45.72047631600168</v>
      </c>
      <c r="B88" s="2">
        <v>87</v>
      </c>
    </row>
    <row r="89" spans="1:2" x14ac:dyDescent="0.25">
      <c r="A89" s="6">
        <f>Data!A89</f>
        <v>50.558870265000145</v>
      </c>
      <c r="B89" s="2">
        <v>88</v>
      </c>
    </row>
    <row r="90" spans="1:2" x14ac:dyDescent="0.25">
      <c r="A90" s="6">
        <f>Data!A90</f>
        <v>37.144582718582939</v>
      </c>
      <c r="B90" s="2">
        <v>89</v>
      </c>
    </row>
    <row r="91" spans="1:2" x14ac:dyDescent="0.25">
      <c r="A91" s="6">
        <f>Data!A91</f>
        <v>40.72370373040706</v>
      </c>
      <c r="B91" s="2">
        <v>90</v>
      </c>
    </row>
    <row r="92" spans="1:2" x14ac:dyDescent="0.25">
      <c r="A92" s="6">
        <f>Data!A92</f>
        <v>46.914904787651857</v>
      </c>
      <c r="B92" s="2">
        <v>91</v>
      </c>
    </row>
    <row r="93" spans="1:2" x14ac:dyDescent="0.25">
      <c r="A93" s="6">
        <f>Data!A93</f>
        <v>49.362383878039836</v>
      </c>
      <c r="B93" s="2">
        <v>92</v>
      </c>
    </row>
    <row r="94" spans="1:2" x14ac:dyDescent="0.25">
      <c r="A94" s="6">
        <f>Data!A94</f>
        <v>44.921298848223714</v>
      </c>
      <c r="B94" s="2">
        <v>93</v>
      </c>
    </row>
    <row r="95" spans="1:2" x14ac:dyDescent="0.25">
      <c r="A95" s="6">
        <f>Data!A95</f>
        <v>39.980835124416892</v>
      </c>
      <c r="B95" s="2">
        <v>94</v>
      </c>
    </row>
    <row r="96" spans="1:2" x14ac:dyDescent="0.25">
      <c r="A96" s="6">
        <f>Data!A96</f>
        <v>42.06150237035294</v>
      </c>
      <c r="B96" s="2">
        <v>95</v>
      </c>
    </row>
    <row r="97" spans="1:2" x14ac:dyDescent="0.25">
      <c r="A97" s="6">
        <f>Data!A97</f>
        <v>45.091496694573806</v>
      </c>
      <c r="B97" s="2">
        <v>96</v>
      </c>
    </row>
    <row r="98" spans="1:2" x14ac:dyDescent="0.25">
      <c r="A98" s="6">
        <f>Data!A98</f>
        <v>43.399300340386709</v>
      </c>
      <c r="B98" s="2">
        <v>97</v>
      </c>
    </row>
    <row r="99" spans="1:2" x14ac:dyDescent="0.25">
      <c r="A99" s="6">
        <f>Data!A99</f>
        <v>38.279550312735118</v>
      </c>
      <c r="B99" s="2">
        <v>98</v>
      </c>
    </row>
    <row r="100" spans="1:2" x14ac:dyDescent="0.25">
      <c r="A100" s="6">
        <f>Data!A100</f>
        <v>47.405741415669169</v>
      </c>
      <c r="B100" s="2">
        <v>99</v>
      </c>
    </row>
    <row r="101" spans="1:2" x14ac:dyDescent="0.25">
      <c r="A101" s="6">
        <f>Data!A101</f>
        <v>38.818591064230546</v>
      </c>
      <c r="B101" s="2">
        <v>100</v>
      </c>
    </row>
    <row r="102" spans="1:2" x14ac:dyDescent="0.25">
      <c r="A102" s="6">
        <f>Data!A102</f>
        <v>45.078257453994844</v>
      </c>
      <c r="B102" s="2">
        <v>101</v>
      </c>
    </row>
    <row r="103" spans="1:2" x14ac:dyDescent="0.25">
      <c r="A103" s="6">
        <f>Data!A103</f>
        <v>47.577164481144528</v>
      </c>
      <c r="B103" s="2">
        <v>102</v>
      </c>
    </row>
    <row r="104" spans="1:2" x14ac:dyDescent="0.25">
      <c r="A104" s="6">
        <f>Data!A104</f>
        <v>43.920609143032607</v>
      </c>
      <c r="B104" s="2">
        <v>103</v>
      </c>
    </row>
    <row r="105" spans="1:2" x14ac:dyDescent="0.25">
      <c r="A105" s="6">
        <f>Data!A105</f>
        <v>44.911082044964942</v>
      </c>
      <c r="B105" s="2">
        <v>104</v>
      </c>
    </row>
    <row r="106" spans="1:2" x14ac:dyDescent="0.25">
      <c r="A106" s="6">
        <f>Data!A106</f>
        <v>38.489381127568905</v>
      </c>
      <c r="B106" s="2">
        <v>105</v>
      </c>
    </row>
    <row r="107" spans="1:2" x14ac:dyDescent="0.25">
      <c r="A107" s="6">
        <f>Data!A107</f>
        <v>40.74332017534558</v>
      </c>
      <c r="B107" s="2">
        <v>106</v>
      </c>
    </row>
    <row r="108" spans="1:2" x14ac:dyDescent="0.25">
      <c r="A108" s="6">
        <f>Data!A108</f>
        <v>43.604860712944237</v>
      </c>
      <c r="B108" s="2">
        <v>107</v>
      </c>
    </row>
    <row r="109" spans="1:2" x14ac:dyDescent="0.25">
      <c r="A109" s="6">
        <f>Data!A109</f>
        <v>46.499119708748879</v>
      </c>
      <c r="B109" s="2">
        <v>108</v>
      </c>
    </row>
    <row r="110" spans="1:2" x14ac:dyDescent="0.25">
      <c r="A110" s="6">
        <f>Data!A110</f>
        <v>42.229984802295178</v>
      </c>
      <c r="B110" s="2">
        <v>109</v>
      </c>
    </row>
    <row r="111" spans="1:2" x14ac:dyDescent="0.25">
      <c r="A111" s="6">
        <f>Data!A111</f>
        <v>46.867135823866299</v>
      </c>
      <c r="B111" s="2">
        <v>110</v>
      </c>
    </row>
    <row r="112" spans="1:2" x14ac:dyDescent="0.25">
      <c r="A112" s="6">
        <f>Data!A112</f>
        <v>48.182708397419226</v>
      </c>
      <c r="B112" s="2">
        <v>111</v>
      </c>
    </row>
    <row r="113" spans="1:2" x14ac:dyDescent="0.25">
      <c r="A113" s="6">
        <f>Data!A113</f>
        <v>49.724037143325532</v>
      </c>
      <c r="B113" s="2">
        <v>112</v>
      </c>
    </row>
    <row r="114" spans="1:2" x14ac:dyDescent="0.25">
      <c r="A114" s="6">
        <f>Data!A114</f>
        <v>39.838226657712838</v>
      </c>
      <c r="B114" s="2">
        <v>113</v>
      </c>
    </row>
    <row r="115" spans="1:2" x14ac:dyDescent="0.25">
      <c r="A115" s="6">
        <f>Data!A115</f>
        <v>43.179826710339249</v>
      </c>
      <c r="B115" s="2">
        <v>114</v>
      </c>
    </row>
    <row r="116" spans="1:2" x14ac:dyDescent="0.25">
      <c r="A116" s="6">
        <f>Data!A116</f>
        <v>42.060671517738243</v>
      </c>
      <c r="B116" s="2">
        <v>115</v>
      </c>
    </row>
    <row r="117" spans="1:2" x14ac:dyDescent="0.25">
      <c r="A117" s="6">
        <f>Data!A117</f>
        <v>41.996357169806629</v>
      </c>
      <c r="B117" s="2">
        <v>116</v>
      </c>
    </row>
    <row r="118" spans="1:2" x14ac:dyDescent="0.25">
      <c r="A118" s="6">
        <f>Data!A118</f>
        <v>42.9138405429456</v>
      </c>
      <c r="B118" s="2">
        <v>117</v>
      </c>
    </row>
    <row r="119" spans="1:2" x14ac:dyDescent="0.25">
      <c r="A119" s="6">
        <f>Data!A119</f>
        <v>44.399218869946985</v>
      </c>
      <c r="B119" s="2">
        <v>118</v>
      </c>
    </row>
    <row r="120" spans="1:2" x14ac:dyDescent="0.25">
      <c r="A120" s="6">
        <f>Data!A120</f>
        <v>44.250433285414701</v>
      </c>
      <c r="B120" s="2">
        <v>119</v>
      </c>
    </row>
    <row r="121" spans="1:2" x14ac:dyDescent="0.25">
      <c r="A121" s="6">
        <f>Data!A121</f>
        <v>42.4977118435352</v>
      </c>
      <c r="B121" s="2">
        <v>120</v>
      </c>
    </row>
    <row r="122" spans="1:2" x14ac:dyDescent="0.25">
      <c r="A122" s="6">
        <f>Data!A122</f>
        <v>43.345624528455673</v>
      </c>
      <c r="B122" s="2">
        <v>121</v>
      </c>
    </row>
    <row r="123" spans="1:2" x14ac:dyDescent="0.25">
      <c r="A123" s="6">
        <f>Data!A123</f>
        <v>42.524955275012388</v>
      </c>
      <c r="B123" s="2">
        <v>122</v>
      </c>
    </row>
    <row r="124" spans="1:2" x14ac:dyDescent="0.25">
      <c r="A124" s="6">
        <f>Data!A124</f>
        <v>42.16277795977193</v>
      </c>
      <c r="B124" s="2">
        <v>123</v>
      </c>
    </row>
    <row r="125" spans="1:2" x14ac:dyDescent="0.25">
      <c r="A125" s="6">
        <f>Data!A125</f>
        <v>46.493834513662264</v>
      </c>
      <c r="B125" s="2">
        <v>124</v>
      </c>
    </row>
    <row r="126" spans="1:2" x14ac:dyDescent="0.25">
      <c r="A126" s="6">
        <f>Data!A126</f>
        <v>44.621403532110406</v>
      </c>
      <c r="B126" s="2">
        <v>125</v>
      </c>
    </row>
    <row r="127" spans="1:2" x14ac:dyDescent="0.25">
      <c r="A127" s="6">
        <f>Data!A127</f>
        <v>38.624434938296758</v>
      </c>
      <c r="B127" s="2">
        <v>126</v>
      </c>
    </row>
    <row r="128" spans="1:2" x14ac:dyDescent="0.25">
      <c r="A128" s="6">
        <f>Data!A128</f>
        <v>41.760501839298399</v>
      </c>
      <c r="B128" s="2">
        <v>127</v>
      </c>
    </row>
    <row r="129" spans="1:2" x14ac:dyDescent="0.25">
      <c r="A129" s="6">
        <f>Data!A129</f>
        <v>43.04239390750795</v>
      </c>
      <c r="B129" s="2">
        <v>128</v>
      </c>
    </row>
    <row r="130" spans="1:2" x14ac:dyDescent="0.25">
      <c r="A130" s="6">
        <f>Data!A130</f>
        <v>49.910920796413784</v>
      </c>
      <c r="B130" s="2">
        <v>129</v>
      </c>
    </row>
    <row r="131" spans="1:2" x14ac:dyDescent="0.25">
      <c r="A131" s="6">
        <f>Data!A131</f>
        <v>50.105883182483439</v>
      </c>
      <c r="B131" s="2">
        <v>130</v>
      </c>
    </row>
    <row r="132" spans="1:2" x14ac:dyDescent="0.25">
      <c r="A132" s="6">
        <f>Data!A132</f>
        <v>47.262159436700159</v>
      </c>
      <c r="B132" s="2">
        <v>131</v>
      </c>
    </row>
    <row r="133" spans="1:2" x14ac:dyDescent="0.25">
      <c r="A133" s="6">
        <f>Data!A133</f>
        <v>48.250578320718148</v>
      </c>
      <c r="B133" s="2">
        <v>132</v>
      </c>
    </row>
    <row r="134" spans="1:2" x14ac:dyDescent="0.25">
      <c r="A134" s="6">
        <f>Data!A134</f>
        <v>48.52980749891492</v>
      </c>
      <c r="B134" s="2">
        <v>133</v>
      </c>
    </row>
    <row r="135" spans="1:2" x14ac:dyDescent="0.25">
      <c r="A135" s="6">
        <f>Data!A135</f>
        <v>36.00040245082284</v>
      </c>
      <c r="B135" s="2">
        <v>134</v>
      </c>
    </row>
    <row r="136" spans="1:2" x14ac:dyDescent="0.25">
      <c r="A136" s="6">
        <f>Data!A136</f>
        <v>42.089389622157555</v>
      </c>
      <c r="B136" s="2">
        <v>135</v>
      </c>
    </row>
    <row r="137" spans="1:2" x14ac:dyDescent="0.25">
      <c r="A137" s="6">
        <f>Data!A137</f>
        <v>38.43768218163531</v>
      </c>
      <c r="B137" s="2">
        <v>136</v>
      </c>
    </row>
    <row r="138" spans="1:2" x14ac:dyDescent="0.25">
      <c r="A138" s="6">
        <f>Data!A138</f>
        <v>41.647458250533312</v>
      </c>
      <c r="B138" s="2">
        <v>137</v>
      </c>
    </row>
    <row r="139" spans="1:2" x14ac:dyDescent="0.25">
      <c r="A139" s="6">
        <f>Data!A139</f>
        <v>44.4831447606173</v>
      </c>
      <c r="B139" s="2">
        <v>138</v>
      </c>
    </row>
    <row r="140" spans="1:2" x14ac:dyDescent="0.25">
      <c r="A140" s="6">
        <f>Data!A140</f>
        <v>41.418689711098402</v>
      </c>
      <c r="B140" s="2">
        <v>139</v>
      </c>
    </row>
    <row r="141" spans="1:2" x14ac:dyDescent="0.25">
      <c r="A141" s="6">
        <f>Data!A141</f>
        <v>46.875948227397785</v>
      </c>
      <c r="B141" s="2">
        <v>140</v>
      </c>
    </row>
    <row r="142" spans="1:2" x14ac:dyDescent="0.25">
      <c r="A142" s="6">
        <f>Data!A142</f>
        <v>42.051684481191735</v>
      </c>
      <c r="B142" s="2">
        <v>141</v>
      </c>
    </row>
    <row r="143" spans="1:2" x14ac:dyDescent="0.25">
      <c r="A143" s="6">
        <f>Data!A143</f>
        <v>44.766224149240252</v>
      </c>
      <c r="B143" s="2">
        <v>142</v>
      </c>
    </row>
    <row r="144" spans="1:2" x14ac:dyDescent="0.25">
      <c r="A144" s="6">
        <f>Data!A144</f>
        <v>44.203998435772014</v>
      </c>
      <c r="B144" s="2">
        <v>143</v>
      </c>
    </row>
    <row r="145" spans="1:2" x14ac:dyDescent="0.25">
      <c r="A145" s="6">
        <f>Data!A145</f>
        <v>46.497909544171868</v>
      </c>
      <c r="B145" s="2">
        <v>144</v>
      </c>
    </row>
    <row r="146" spans="1:2" x14ac:dyDescent="0.25">
      <c r="A146" s="6">
        <f>Data!A146</f>
        <v>42.680728469282172</v>
      </c>
      <c r="B146" s="2">
        <v>145</v>
      </c>
    </row>
    <row r="147" spans="1:2" x14ac:dyDescent="0.25">
      <c r="A147" s="6">
        <f>Data!A147</f>
        <v>44.35942177075745</v>
      </c>
      <c r="B147" s="2">
        <v>146</v>
      </c>
    </row>
    <row r="148" spans="1:2" x14ac:dyDescent="0.25">
      <c r="A148" s="6">
        <f>Data!A148</f>
        <v>41.691378530303332</v>
      </c>
      <c r="B148" s="2">
        <v>147</v>
      </c>
    </row>
    <row r="149" spans="1:2" x14ac:dyDescent="0.25">
      <c r="A149" s="6">
        <f>Data!A149</f>
        <v>42.576904706481074</v>
      </c>
      <c r="B149" s="2">
        <v>148</v>
      </c>
    </row>
    <row r="150" spans="1:2" x14ac:dyDescent="0.25">
      <c r="A150" s="6">
        <f>Data!A150</f>
        <v>47.625269268229424</v>
      </c>
      <c r="B150" s="2">
        <v>149</v>
      </c>
    </row>
    <row r="151" spans="1:2" x14ac:dyDescent="0.25">
      <c r="A151" s="6">
        <f>Data!A151</f>
        <v>41.941139604865882</v>
      </c>
      <c r="B151" s="2">
        <v>150</v>
      </c>
    </row>
    <row r="152" spans="1:2" x14ac:dyDescent="0.25">
      <c r="A152" s="6">
        <f>Data!A152</f>
        <v>43.486966137381174</v>
      </c>
      <c r="B152" s="2">
        <v>151</v>
      </c>
    </row>
    <row r="153" spans="1:2" x14ac:dyDescent="0.25">
      <c r="A153" s="6">
        <f>Data!A153</f>
        <v>49.563552182453584</v>
      </c>
      <c r="B153" s="2">
        <v>152</v>
      </c>
    </row>
    <row r="154" spans="1:2" x14ac:dyDescent="0.25">
      <c r="A154" s="6">
        <f>Data!A154</f>
        <v>46.677581278950363</v>
      </c>
      <c r="B154" s="2">
        <v>153</v>
      </c>
    </row>
    <row r="155" spans="1:2" x14ac:dyDescent="0.25">
      <c r="A155" s="6">
        <f>Data!A155</f>
        <v>46.784427602764104</v>
      </c>
      <c r="B155" s="2">
        <v>154</v>
      </c>
    </row>
    <row r="156" spans="1:2" x14ac:dyDescent="0.25">
      <c r="A156" s="6">
        <f>Data!A156</f>
        <v>49.461985581228362</v>
      </c>
      <c r="B156" s="2">
        <v>155</v>
      </c>
    </row>
    <row r="157" spans="1:2" x14ac:dyDescent="0.25">
      <c r="A157" s="6">
        <f>Data!A157</f>
        <v>45.141294581214247</v>
      </c>
      <c r="B157" s="2">
        <v>156</v>
      </c>
    </row>
    <row r="158" spans="1:2" x14ac:dyDescent="0.25">
      <c r="A158" s="6">
        <f>Data!A158</f>
        <v>42.261479044406819</v>
      </c>
      <c r="B158" s="2">
        <v>157</v>
      </c>
    </row>
    <row r="159" spans="1:2" x14ac:dyDescent="0.25">
      <c r="A159" s="6">
        <f>Data!A159</f>
        <v>44.461143497762478</v>
      </c>
      <c r="B159" s="2">
        <v>158</v>
      </c>
    </row>
    <row r="160" spans="1:2" x14ac:dyDescent="0.25">
      <c r="A160" s="6">
        <f>Data!A160</f>
        <v>45.015703792393396</v>
      </c>
      <c r="B160" s="2">
        <v>159</v>
      </c>
    </row>
    <row r="161" spans="1:2" x14ac:dyDescent="0.25">
      <c r="A161" s="6">
        <f>Data!A161</f>
        <v>47.770291947298006</v>
      </c>
      <c r="B161" s="2">
        <v>160</v>
      </c>
    </row>
    <row r="162" spans="1:2" x14ac:dyDescent="0.25">
      <c r="A162" s="6">
        <f>Data!A162</f>
        <v>46.592110675748813</v>
      </c>
      <c r="B162" s="2">
        <v>161</v>
      </c>
    </row>
    <row r="163" spans="1:2" x14ac:dyDescent="0.25">
      <c r="A163" s="6">
        <f>Data!A163</f>
        <v>44.896104048630811</v>
      </c>
      <c r="B163" s="2">
        <v>162</v>
      </c>
    </row>
    <row r="164" spans="1:2" x14ac:dyDescent="0.25">
      <c r="A164" s="6">
        <f>Data!A164</f>
        <v>39.76720303861849</v>
      </c>
      <c r="B164" s="2">
        <v>163</v>
      </c>
    </row>
    <row r="165" spans="1:2" x14ac:dyDescent="0.25">
      <c r="A165" s="6">
        <f>Data!A165</f>
        <v>44.228703274208641</v>
      </c>
      <c r="B165" s="2">
        <v>164</v>
      </c>
    </row>
    <row r="166" spans="1:2" x14ac:dyDescent="0.25">
      <c r="A166" s="6">
        <f>Data!A166</f>
        <v>42.914644149899829</v>
      </c>
      <c r="B166" s="2">
        <v>165</v>
      </c>
    </row>
    <row r="167" spans="1:2" x14ac:dyDescent="0.25">
      <c r="A167" s="6">
        <f>Data!A167</f>
        <v>50.181466524471972</v>
      </c>
      <c r="B167" s="2">
        <v>166</v>
      </c>
    </row>
    <row r="168" spans="1:2" x14ac:dyDescent="0.25">
      <c r="A168" s="6">
        <f>Data!A168</f>
        <v>42.52297321450348</v>
      </c>
      <c r="B168" s="2">
        <v>167</v>
      </c>
    </row>
    <row r="169" spans="1:2" x14ac:dyDescent="0.25">
      <c r="A169" s="6">
        <f>Data!A169</f>
        <v>45.678435594434028</v>
      </c>
      <c r="B169" s="2">
        <v>168</v>
      </c>
    </row>
    <row r="170" spans="1:2" x14ac:dyDescent="0.25">
      <c r="A170" s="6">
        <f>Data!A170</f>
        <v>51.712059563567308</v>
      </c>
      <c r="B170" s="2">
        <v>169</v>
      </c>
    </row>
    <row r="171" spans="1:2" x14ac:dyDescent="0.25">
      <c r="A171" s="6">
        <f>Data!A171</f>
        <v>46.696614804525957</v>
      </c>
      <c r="B171" s="2">
        <v>170</v>
      </c>
    </row>
    <row r="172" spans="1:2" x14ac:dyDescent="0.25">
      <c r="A172" s="6">
        <f>Data!A172</f>
        <v>53.062941471738156</v>
      </c>
      <c r="B172" s="2">
        <v>171</v>
      </c>
    </row>
    <row r="173" spans="1:2" x14ac:dyDescent="0.25">
      <c r="A173" s="6">
        <f>Data!A173</f>
        <v>39.883497832335543</v>
      </c>
      <c r="B173" s="2">
        <v>172</v>
      </c>
    </row>
    <row r="174" spans="1:2" x14ac:dyDescent="0.25">
      <c r="A174" s="6">
        <f>Data!A174</f>
        <v>46.573846445781506</v>
      </c>
      <c r="B174" s="2">
        <v>173</v>
      </c>
    </row>
    <row r="175" spans="1:2" x14ac:dyDescent="0.25">
      <c r="A175" s="6">
        <f>Data!A175</f>
        <v>46.21161443825342</v>
      </c>
      <c r="B175" s="2">
        <v>174</v>
      </c>
    </row>
    <row r="176" spans="1:2" x14ac:dyDescent="0.25">
      <c r="A176" s="6">
        <f>Data!A176</f>
        <v>42.80145376949055</v>
      </c>
      <c r="B176" s="2">
        <v>175</v>
      </c>
    </row>
    <row r="177" spans="1:2" x14ac:dyDescent="0.25">
      <c r="A177" s="6">
        <f>Data!A177</f>
        <v>44.209556621708998</v>
      </c>
      <c r="B177" s="2">
        <v>176</v>
      </c>
    </row>
    <row r="178" spans="1:2" x14ac:dyDescent="0.25">
      <c r="A178" s="6">
        <f>Data!A178</f>
        <v>36.880310817916438</v>
      </c>
      <c r="B178" s="2">
        <v>177</v>
      </c>
    </row>
    <row r="179" spans="1:2" x14ac:dyDescent="0.25">
      <c r="A179" s="6">
        <f>Data!A179</f>
        <v>46.516199447639963</v>
      </c>
      <c r="B179" s="2">
        <v>178</v>
      </c>
    </row>
    <row r="180" spans="1:2" x14ac:dyDescent="0.25">
      <c r="A180" s="6">
        <f>Data!A180</f>
        <v>46.790125417269266</v>
      </c>
      <c r="B180" s="2">
        <v>179</v>
      </c>
    </row>
    <row r="181" spans="1:2" x14ac:dyDescent="0.25">
      <c r="A181" s="6">
        <f>Data!A181</f>
        <v>46.538566937588406</v>
      </c>
      <c r="B181" s="2">
        <v>180</v>
      </c>
    </row>
    <row r="182" spans="1:2" x14ac:dyDescent="0.25">
      <c r="A182" s="6">
        <f>Data!A182</f>
        <v>47.377719403128346</v>
      </c>
      <c r="B182" s="2">
        <v>181</v>
      </c>
    </row>
    <row r="183" spans="1:2" x14ac:dyDescent="0.25">
      <c r="A183" s="6">
        <f>Data!A183</f>
        <v>35.269111568196891</v>
      </c>
      <c r="B183" s="2">
        <v>182</v>
      </c>
    </row>
    <row r="184" spans="1:2" x14ac:dyDescent="0.25">
      <c r="A184" s="6">
        <f>Data!A184</f>
        <v>46.027857729732588</v>
      </c>
      <c r="B184" s="2">
        <v>183</v>
      </c>
    </row>
    <row r="185" spans="1:2" x14ac:dyDescent="0.25">
      <c r="A185" s="6">
        <f>Data!A185</f>
        <v>50.239848247478996</v>
      </c>
      <c r="B185" s="2">
        <v>184</v>
      </c>
    </row>
    <row r="186" spans="1:2" x14ac:dyDescent="0.25">
      <c r="A186" s="6">
        <f>Data!A186</f>
        <v>41.16511069620406</v>
      </c>
      <c r="B186" s="2">
        <v>185</v>
      </c>
    </row>
    <row r="187" spans="1:2" x14ac:dyDescent="0.25">
      <c r="A187" s="6">
        <f>Data!A187</f>
        <v>42.24835425380423</v>
      </c>
      <c r="B187" s="2">
        <v>186</v>
      </c>
    </row>
    <row r="188" spans="1:2" x14ac:dyDescent="0.25">
      <c r="A188" s="6">
        <f>Data!A188</f>
        <v>50.474189293941919</v>
      </c>
      <c r="B188" s="2">
        <v>187</v>
      </c>
    </row>
    <row r="189" spans="1:2" x14ac:dyDescent="0.25">
      <c r="A189" s="6">
        <f>Data!A189</f>
        <v>42.846548517806575</v>
      </c>
      <c r="B189" s="2">
        <v>188</v>
      </c>
    </row>
    <row r="190" spans="1:2" x14ac:dyDescent="0.25">
      <c r="A190" s="6">
        <f>Data!A190</f>
        <v>45.657086323394502</v>
      </c>
      <c r="B190" s="2">
        <v>189</v>
      </c>
    </row>
    <row r="191" spans="1:2" x14ac:dyDescent="0.25">
      <c r="A191" s="6">
        <f>Data!A191</f>
        <v>46.368754836693</v>
      </c>
      <c r="B191" s="2">
        <v>190</v>
      </c>
    </row>
    <row r="192" spans="1:2" x14ac:dyDescent="0.25">
      <c r="A192" s="6">
        <f>Data!A192</f>
        <v>43.006832493391649</v>
      </c>
      <c r="B192" s="2">
        <v>191</v>
      </c>
    </row>
    <row r="193" spans="1:2" x14ac:dyDescent="0.25">
      <c r="A193" s="6">
        <f>Data!A193</f>
        <v>49.414124848020514</v>
      </c>
      <c r="B193" s="2">
        <v>192</v>
      </c>
    </row>
    <row r="194" spans="1:2" x14ac:dyDescent="0.25">
      <c r="A194" s="6">
        <f>Data!A194</f>
        <v>46.875531260687637</v>
      </c>
      <c r="B194" s="2">
        <v>193</v>
      </c>
    </row>
    <row r="195" spans="1:2" x14ac:dyDescent="0.25">
      <c r="A195" s="6">
        <f>Data!A195</f>
        <v>47.989197408772938</v>
      </c>
      <c r="B195" s="2">
        <v>194</v>
      </c>
    </row>
    <row r="196" spans="1:2" x14ac:dyDescent="0.25">
      <c r="A196" s="6">
        <f>Data!A196</f>
        <v>39.699334354725508</v>
      </c>
      <c r="B196" s="2">
        <v>195</v>
      </c>
    </row>
    <row r="197" spans="1:2" x14ac:dyDescent="0.25">
      <c r="A197" s="6">
        <f>Data!A197</f>
        <v>44.331878117802923</v>
      </c>
      <c r="B197" s="2">
        <v>196</v>
      </c>
    </row>
    <row r="198" spans="1:2" x14ac:dyDescent="0.25">
      <c r="A198" s="6">
        <f>Data!A198</f>
        <v>50.718886788037253</v>
      </c>
      <c r="B198" s="2">
        <v>197</v>
      </c>
    </row>
    <row r="199" spans="1:2" x14ac:dyDescent="0.25">
      <c r="A199" s="6">
        <f>Data!A199</f>
        <v>42.133133460945203</v>
      </c>
      <c r="B199" s="2">
        <v>198</v>
      </c>
    </row>
    <row r="200" spans="1:2" x14ac:dyDescent="0.25">
      <c r="A200" s="6">
        <f>Data!A200</f>
        <v>45.488249298776218</v>
      </c>
      <c r="B200" s="2">
        <v>199</v>
      </c>
    </row>
    <row r="201" spans="1:2" x14ac:dyDescent="0.25">
      <c r="A201" s="6">
        <f>Data!A201</f>
        <v>44.230427022211757</v>
      </c>
      <c r="B201" s="2">
        <v>200</v>
      </c>
    </row>
    <row r="202" spans="1:2" x14ac:dyDescent="0.25">
      <c r="A202" s="6">
        <f>Data!A202</f>
        <v>45.044282674671059</v>
      </c>
      <c r="B202" s="2">
        <v>201</v>
      </c>
    </row>
    <row r="203" spans="1:2" x14ac:dyDescent="0.25">
      <c r="A203" s="6">
        <f>Data!A203</f>
        <v>47.873671023346617</v>
      </c>
      <c r="B203" s="2">
        <v>202</v>
      </c>
    </row>
    <row r="204" spans="1:2" x14ac:dyDescent="0.25">
      <c r="A204" s="6">
        <f>Data!A204</f>
        <v>48.864458317440118</v>
      </c>
      <c r="B204" s="2">
        <v>203</v>
      </c>
    </row>
    <row r="205" spans="1:2" x14ac:dyDescent="0.25">
      <c r="A205" s="6">
        <f>Data!A205</f>
        <v>44.926014051928064</v>
      </c>
      <c r="B205" s="2">
        <v>204</v>
      </c>
    </row>
    <row r="206" spans="1:2" x14ac:dyDescent="0.25">
      <c r="A206" s="6">
        <f>Data!A206</f>
        <v>43.039269687906817</v>
      </c>
      <c r="B206" s="2">
        <v>205</v>
      </c>
    </row>
    <row r="207" spans="1:2" x14ac:dyDescent="0.25">
      <c r="A207" s="6">
        <f>Data!A207</f>
        <v>42.505219556211252</v>
      </c>
      <c r="B207" s="2">
        <v>206</v>
      </c>
    </row>
    <row r="208" spans="1:2" x14ac:dyDescent="0.25">
      <c r="A208" s="6">
        <f>Data!A208</f>
        <v>46.929627249201303</v>
      </c>
      <c r="B208" s="2">
        <v>207</v>
      </c>
    </row>
    <row r="209" spans="1:2" x14ac:dyDescent="0.25">
      <c r="A209" s="6">
        <f>Data!A209</f>
        <v>44.359675923914274</v>
      </c>
      <c r="B209" s="2">
        <v>208</v>
      </c>
    </row>
    <row r="210" spans="1:2" x14ac:dyDescent="0.25">
      <c r="A210" s="6">
        <f>Data!A210</f>
        <v>48.528251570733104</v>
      </c>
      <c r="B210" s="2">
        <v>209</v>
      </c>
    </row>
    <row r="211" spans="1:2" x14ac:dyDescent="0.25">
      <c r="A211" s="6">
        <f>Data!A211</f>
        <v>43.24515598653003</v>
      </c>
      <c r="B211" s="2">
        <v>210</v>
      </c>
    </row>
    <row r="212" spans="1:2" x14ac:dyDescent="0.25">
      <c r="A212" s="6">
        <f>Data!A212</f>
        <v>48.51963488743479</v>
      </c>
      <c r="B212" s="2">
        <v>211</v>
      </c>
    </row>
    <row r="213" spans="1:2" x14ac:dyDescent="0.25">
      <c r="A213" s="6">
        <f>Data!A213</f>
        <v>48.563856032012922</v>
      </c>
      <c r="B213" s="2">
        <v>212</v>
      </c>
    </row>
    <row r="214" spans="1:2" x14ac:dyDescent="0.25">
      <c r="A214" s="6">
        <f>Data!A214</f>
        <v>46.806466597568814</v>
      </c>
      <c r="B214" s="2">
        <v>213</v>
      </c>
    </row>
    <row r="215" spans="1:2" x14ac:dyDescent="0.25">
      <c r="A215" s="6">
        <f>Data!A215</f>
        <v>44.543215284659873</v>
      </c>
      <c r="B215" s="2">
        <v>214</v>
      </c>
    </row>
    <row r="216" spans="1:2" x14ac:dyDescent="0.25">
      <c r="A216" s="6">
        <f>Data!A216</f>
        <v>51.815588898891363</v>
      </c>
      <c r="B216" s="2">
        <v>215</v>
      </c>
    </row>
    <row r="217" spans="1:2" x14ac:dyDescent="0.25">
      <c r="A217" s="6">
        <f>Data!A217</f>
        <v>38.811823441892798</v>
      </c>
      <c r="B217" s="2">
        <v>216</v>
      </c>
    </row>
    <row r="218" spans="1:2" x14ac:dyDescent="0.25">
      <c r="A218" s="6">
        <f>Data!A218</f>
        <v>47.725229069836317</v>
      </c>
      <c r="B218" s="2">
        <v>217</v>
      </c>
    </row>
    <row r="219" spans="1:2" x14ac:dyDescent="0.25">
      <c r="A219" s="6">
        <f>Data!A219</f>
        <v>43.835887201513422</v>
      </c>
      <c r="B219" s="2">
        <v>218</v>
      </c>
    </row>
    <row r="220" spans="1:2" x14ac:dyDescent="0.25">
      <c r="A220" s="6">
        <f>Data!A220</f>
        <v>45.952260650448551</v>
      </c>
      <c r="B220" s="2">
        <v>219</v>
      </c>
    </row>
    <row r="221" spans="1:2" x14ac:dyDescent="0.25">
      <c r="A221" s="6">
        <f>Data!A221</f>
        <v>40.886223215896671</v>
      </c>
      <c r="B221" s="2">
        <v>220</v>
      </c>
    </row>
    <row r="222" spans="1:2" x14ac:dyDescent="0.25">
      <c r="A222" s="6">
        <f>Data!A222</f>
        <v>47.247355083640912</v>
      </c>
      <c r="B222" s="2">
        <v>221</v>
      </c>
    </row>
    <row r="223" spans="1:2" x14ac:dyDescent="0.25">
      <c r="A223" s="6">
        <f>Data!A223</f>
        <v>37.655894254273015</v>
      </c>
      <c r="B223" s="2">
        <v>222</v>
      </c>
    </row>
    <row r="224" spans="1:2" x14ac:dyDescent="0.25">
      <c r="A224" s="6">
        <f>Data!A224</f>
        <v>45.76482095530173</v>
      </c>
      <c r="B224" s="2">
        <v>223</v>
      </c>
    </row>
    <row r="225" spans="1:2" x14ac:dyDescent="0.25">
      <c r="A225" s="6">
        <f>Data!A225</f>
        <v>44.704230917480096</v>
      </c>
      <c r="B225" s="2">
        <v>224</v>
      </c>
    </row>
    <row r="226" spans="1:2" x14ac:dyDescent="0.25">
      <c r="A226" s="6">
        <f>Data!A226</f>
        <v>45.890951438216547</v>
      </c>
      <c r="B226" s="2">
        <v>225</v>
      </c>
    </row>
    <row r="227" spans="1:2" x14ac:dyDescent="0.25">
      <c r="A227" s="6">
        <f>Data!A227</f>
        <v>41.866177646826664</v>
      </c>
      <c r="B227" s="2">
        <v>226</v>
      </c>
    </row>
    <row r="228" spans="1:2" x14ac:dyDescent="0.25">
      <c r="A228" s="6">
        <f>Data!A228</f>
        <v>45.283528433012705</v>
      </c>
      <c r="B228" s="2">
        <v>227</v>
      </c>
    </row>
    <row r="229" spans="1:2" x14ac:dyDescent="0.25">
      <c r="A229" s="6">
        <f>Data!A229</f>
        <v>43.513649445562891</v>
      </c>
      <c r="B229" s="2">
        <v>228</v>
      </c>
    </row>
    <row r="230" spans="1:2" x14ac:dyDescent="0.25">
      <c r="A230" s="6">
        <f>Data!A230</f>
        <v>43.886192875506104</v>
      </c>
      <c r="B230" s="2">
        <v>229</v>
      </c>
    </row>
    <row r="231" spans="1:2" x14ac:dyDescent="0.25">
      <c r="A231" s="6">
        <f>Data!A231</f>
        <v>48.516219528287102</v>
      </c>
      <c r="B231" s="2">
        <v>230</v>
      </c>
    </row>
    <row r="232" spans="1:2" x14ac:dyDescent="0.25">
      <c r="A232" s="6">
        <f>Data!A232</f>
        <v>48.742509982045753</v>
      </c>
      <c r="B232" s="2">
        <v>231</v>
      </c>
    </row>
    <row r="233" spans="1:2" x14ac:dyDescent="0.25">
      <c r="A233" s="6">
        <f>Data!A233</f>
        <v>42.246513235610649</v>
      </c>
      <c r="B233" s="2">
        <v>232</v>
      </c>
    </row>
    <row r="234" spans="1:2" x14ac:dyDescent="0.25">
      <c r="A234" s="6">
        <f>Data!A234</f>
        <v>49.500650527796296</v>
      </c>
      <c r="B234" s="2">
        <v>233</v>
      </c>
    </row>
    <row r="235" spans="1:2" x14ac:dyDescent="0.25">
      <c r="A235" s="6">
        <f>Data!A235</f>
        <v>47.295221980570368</v>
      </c>
      <c r="B235" s="2">
        <v>234</v>
      </c>
    </row>
    <row r="236" spans="1:2" x14ac:dyDescent="0.25">
      <c r="A236" s="6">
        <f>Data!A236</f>
        <v>39.342278746106629</v>
      </c>
      <c r="B236" s="2">
        <v>235</v>
      </c>
    </row>
    <row r="237" spans="1:2" x14ac:dyDescent="0.25">
      <c r="A237" s="6">
        <f>Data!A237</f>
        <v>46.88366606377685</v>
      </c>
      <c r="B237" s="2">
        <v>236</v>
      </c>
    </row>
    <row r="238" spans="1:2" x14ac:dyDescent="0.25">
      <c r="A238" s="6">
        <f>Data!A238</f>
        <v>43.238880907730149</v>
      </c>
      <c r="B238" s="2">
        <v>237</v>
      </c>
    </row>
    <row r="239" spans="1:2" x14ac:dyDescent="0.25">
      <c r="A239" s="6">
        <f>Data!A239</f>
        <v>47.930686199586944</v>
      </c>
      <c r="B239" s="2">
        <v>238</v>
      </c>
    </row>
    <row r="240" spans="1:2" x14ac:dyDescent="0.25">
      <c r="A240" s="6">
        <f>Data!A240</f>
        <v>46.842324372296375</v>
      </c>
      <c r="B240" s="2">
        <v>239</v>
      </c>
    </row>
    <row r="241" spans="1:2" x14ac:dyDescent="0.25">
      <c r="A241" s="6">
        <f>Data!A241</f>
        <v>45.890678414512948</v>
      </c>
      <c r="B241" s="2">
        <v>240</v>
      </c>
    </row>
    <row r="242" spans="1:2" x14ac:dyDescent="0.25">
      <c r="A242" s="6">
        <f>Data!A242</f>
        <v>43.495487201189221</v>
      </c>
      <c r="B242" s="2">
        <v>241</v>
      </c>
    </row>
    <row r="243" spans="1:2" x14ac:dyDescent="0.25">
      <c r="A243" s="6">
        <f>Data!A243</f>
        <v>46.493308686362802</v>
      </c>
      <c r="B243" s="2">
        <v>242</v>
      </c>
    </row>
    <row r="244" spans="1:2" x14ac:dyDescent="0.25">
      <c r="A244" s="6">
        <f>Data!A244</f>
        <v>49.478232659240319</v>
      </c>
      <c r="B244" s="2">
        <v>243</v>
      </c>
    </row>
    <row r="245" spans="1:2" x14ac:dyDescent="0.25">
      <c r="A245" s="6">
        <f>Data!A245</f>
        <v>45.525927928143297</v>
      </c>
      <c r="B245" s="2">
        <v>244</v>
      </c>
    </row>
    <row r="246" spans="1:2" x14ac:dyDescent="0.25">
      <c r="A246" s="6">
        <f>Data!A246</f>
        <v>48.434391710392681</v>
      </c>
      <c r="B246" s="2">
        <v>245</v>
      </c>
    </row>
    <row r="247" spans="1:2" x14ac:dyDescent="0.25">
      <c r="A247" s="6">
        <f>Data!A247</f>
        <v>53.352329525316904</v>
      </c>
      <c r="B247" s="2">
        <v>246</v>
      </c>
    </row>
    <row r="248" spans="1:2" x14ac:dyDescent="0.25">
      <c r="A248" s="6">
        <f>Data!A248</f>
        <v>44.707679670816198</v>
      </c>
      <c r="B248" s="2">
        <v>247</v>
      </c>
    </row>
    <row r="249" spans="1:2" x14ac:dyDescent="0.25">
      <c r="A249" s="6">
        <f>Data!A249</f>
        <v>40.488360462497496</v>
      </c>
      <c r="B249" s="2">
        <v>248</v>
      </c>
    </row>
    <row r="250" spans="1:2" x14ac:dyDescent="0.25">
      <c r="A250" s="6">
        <f>Data!A250</f>
        <v>39.284798658068688</v>
      </c>
      <c r="B250" s="2">
        <v>249</v>
      </c>
    </row>
    <row r="251" spans="1:2" x14ac:dyDescent="0.25">
      <c r="A251" s="6">
        <f>Data!A251</f>
        <v>38.581716773612762</v>
      </c>
      <c r="B251" s="2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Parameters</vt:lpstr>
      <vt:lpstr>Data</vt:lpstr>
      <vt:lpstr>Sample</vt:lpstr>
      <vt:lpstr>Statistical Insight</vt:lpstr>
      <vt:lpstr>(Un)correlated Variables</vt:lpstr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PROIETTI</dc:creator>
  <cp:lastModifiedBy>ELEONORA PROIETTI</cp:lastModifiedBy>
  <dcterms:created xsi:type="dcterms:W3CDTF">2025-05-08T18:39:45Z</dcterms:created>
  <dcterms:modified xsi:type="dcterms:W3CDTF">2025-05-17T18:44:18Z</dcterms:modified>
</cp:coreProperties>
</file>